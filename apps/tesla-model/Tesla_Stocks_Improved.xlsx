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ME" sheetId="1" state="visible" r:id="rId3"/>
    <sheet name="Dashboard" sheetId="2" state="visible" r:id="rId4"/>
    <sheet name="Inputs" sheetId="3" state="visible" r:id="rId5"/>
    <sheet name="Holdings" sheetId="4" state="visible" r:id="rId6"/>
    <sheet name="Projection" sheetId="5" state="visible" r:id="rId7"/>
    <sheet name="Proj_Targets" sheetId="6" state="visible" r:id="rId8"/>
    <sheet name="Proj_Base" sheetId="7" state="visible" r:id="rId9"/>
    <sheet name="Proj_Conservative" sheetId="8" state="visible" r:id="rId10"/>
    <sheet name="Sources" sheetId="9" state="visible" r:id="rId11"/>
    <sheet name="Changelog" sheetId="10" state="visible" r:id="rId12"/>
    <sheet name="Colin" sheetId="11" state="visible" r:id="rId13"/>
    <sheet name="Colin &amp; CAroline" sheetId="12" state="visible" r:id="rId14"/>
    <sheet name="InvestAnswers" sheetId="13" state="visible" r:id="rId15"/>
    <sheet name="Robotaxi Prediction" sheetId="14" state="visible" r:id="rId16"/>
    <sheet name="CD Future predictions " sheetId="15" state="visible" r:id="rId17"/>
    <sheet name="Caroline" sheetId="16" state="visible" r:id="rId18"/>
    <sheet name="CT Future prediction" sheetId="17" state="visible" r:id="rId19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Grok Bot</author>
  </authors>
  <commentList>
    <comment ref="C8" authorId="0">
      <text>
        <r>
          <rPr>
            <sz val="10"/>
            <rFont val="Arial"/>
            <family val="2"/>
          </rPr>
          <t xml:space="preserve">Account type unknown ('?'). The 'Caroline' sheet calls this 'Stocks' – probably non-ISA. Please confirm.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64</xdr:colOff>
                <xdr:row>0</xdr:row>
                <xdr:rowOff>2</xdr:rowOff>
              </xdr:from>
              <xdr:to>
                <xdr:col>3</xdr:col>
                <xdr:colOff>26</xdr:colOff>
                <xdr:row>1</xdr:row>
                <xdr:rowOff>45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<sst xmlns="http://schemas.openxmlformats.org/spreadsheetml/2006/main" count="1076" uniqueCount="585">
  <si>
    <t xml:space="preserve">READ ME FIRST</t>
  </si>
  <si>
    <t xml:space="preserve">IMPORTANT</t>
  </si>
  <si>
    <t xml:space="preserve">This workbook includes a "Tesla hits all targets" scenario. It assumes Tesla delivers every milestone in Musk's 2025 CEO award, its Master Plan ambitions,</t>
  </si>
  <si>
    <t xml:space="preserve">robotaxi and Optimus at massive scale, AND a merger with SpaceX (SPCX). That is extremely optimistic: Tesla has missed or dropped many past targets.</t>
  </si>
  <si>
    <t xml:space="preserve">Nothing here is a forecast or financial advice. Share prices can fall as well as rise; check with a regulated adviser before acting.</t>
  </si>
  <si>
    <t xml:space="preserve">HOW TO USE</t>
  </si>
  <si>
    <t xml:space="preserve">1.</t>
  </si>
  <si>
    <t xml:space="preserve">Inputs sheet → cell B4: pick a scenario from the drop-down (Tesla hits all targets / Base / Conservative).</t>
  </si>
  <si>
    <t xml:space="preserve">2.</t>
  </si>
  <si>
    <t xml:space="preserve">Yellow cells anywhere are editable: TSLA/SPCX price, FX rate, merger Yes/No, merger year, exchange-ratio method, premium, and every scenario assumption.</t>
  </si>
  <si>
    <t xml:space="preserve">3.</t>
  </si>
  <si>
    <t xml:space="preserve">Dashboard: headline numbers, CEO-award milestone checker, merger maths, a what-if price calculator and charts.</t>
  </si>
  <si>
    <t xml:space="preserve">4.</t>
  </si>
  <si>
    <t xml:space="preserve">Holdings: your master list of shares and buy prices (live value, profit, £). Choose whether to include Caroline on the Inputs sheet.</t>
  </si>
  <si>
    <t xml:space="preserve">5.</t>
  </si>
  <si>
    <t xml:space="preserve">Projection: the full 2026–2046 model for the active scenario. Proj_Targets / Proj_Base / Proj_Conservative run all three side by side.</t>
  </si>
  <si>
    <t xml:space="preserve">6.</t>
  </si>
  <si>
    <t xml:space="preserve">Your original sheets are kept (with fixes) at the end. Changelog lists every fix; Sources lists every reference.</t>
  </si>
  <si>
    <t xml:space="preserve">ON IPHONE</t>
  </si>
  <si>
    <t xml:space="preserve">Open in the Microsoft Excel app (not Files preview) so drop-downs and recalculation work. Interactive web version:</t>
  </si>
  <si>
    <t xml:space="preserve">https://colin-3d-models.netlify.app/tesla-model/</t>
  </si>
  <si>
    <t xml:space="preserve">TESLA (+SPACEX) POSITION DASHBOARD</t>
  </si>
  <si>
    <t xml:space="preserve">Change the scenario and every assumption on the Inputs sheet (yellow cells). Very optimistic what-if model – not a forecast, not advice.</t>
  </si>
  <si>
    <t xml:space="preserve">TSLA price now</t>
  </si>
  <si>
    <t xml:space="preserve">My shares</t>
  </si>
  <si>
    <t xml:space="preserve">My position now (£)</t>
  </si>
  <si>
    <t xml:space="preserve">Profit so far (£, today's FX)</t>
  </si>
  <si>
    <t xml:space="preserve">Gain %</t>
  </si>
  <si>
    <t xml:space="preserve">$1 TSLA move = £</t>
  </si>
  <si>
    <t xml:space="preserve">Headline results – active scenario</t>
  </si>
  <si>
    <t xml:space="preserve">CEO award milestone checker (Tesla standalone, active scenario)</t>
  </si>
  <si>
    <t xml:space="preserve">Year</t>
  </si>
  <si>
    <t xml:space="preserve">Value per TSLA share ($)</t>
  </si>
  <si>
    <t xml:space="preserve">x today</t>
  </si>
  <si>
    <t xml:space="preserve">My position ($)</t>
  </si>
  <si>
    <t xml:space="preserve">My position (£)</t>
  </si>
  <si>
    <t xml:space="preserve">£ in today's money</t>
  </si>
  <si>
    <t xml:space="preserve">Tesla revenue ($bn)</t>
  </si>
  <si>
    <t xml:space="preserve">Tesla EBITDA ($bn)</t>
  </si>
  <si>
    <t xml:space="preserve">Tesla mkt cap ($bn)</t>
  </si>
  <si>
    <t xml:space="preserve">Milestone</t>
  </si>
  <si>
    <t xml:space="preserve">Target</t>
  </si>
  <si>
    <t xml:space="preserve">First year reached</t>
  </si>
  <si>
    <t xml:space="preserve">By award deadline?</t>
  </si>
  <si>
    <t xml:space="preserve">Market cap $8.5tn</t>
  </si>
  <si>
    <t xml:space="preserve">20m cumulative vehicles</t>
  </si>
  <si>
    <t xml:space="preserve">10m paid FSD subs</t>
  </si>
  <si>
    <t xml:space="preserve">1m robotaxis operating</t>
  </si>
  <si>
    <t xml:space="preserve">1m Optimus delivered</t>
  </si>
  <si>
    <t xml:space="preserve">(You can type any year 2026–2046 in the yellow year cells.)</t>
  </si>
  <si>
    <t xml:space="preserve">$400bn adj. EBITDA</t>
  </si>
  <si>
    <t xml:space="preserve">Scenario comparison – value per original TSLA share ($) and my position (£)</t>
  </si>
  <si>
    <t xml:space="preserve">Targets $/sh</t>
  </si>
  <si>
    <t xml:space="preserve">Base $/sh</t>
  </si>
  <si>
    <t xml:space="preserve">Conservative $/sh</t>
  </si>
  <si>
    <t xml:space="preserve">Targets £</t>
  </si>
  <si>
    <t xml:space="preserve">Base £</t>
  </si>
  <si>
    <t xml:space="preserve">Conservative £</t>
  </si>
  <si>
    <t xml:space="preserve">Active $/sh</t>
  </si>
  <si>
    <t xml:space="preserve">Active £</t>
  </si>
  <si>
    <t xml:space="preserve">Merger maths</t>
  </si>
  <si>
    <t xml:space="preserve">Exchange ratio (SPCX shares per TSLA share)</t>
  </si>
  <si>
    <t xml:space="preserve">Tesla holders' share of combined company</t>
  </si>
  <si>
    <t xml:space="preserve">Ratio implied by today's prices</t>
  </si>
  <si>
    <t xml:space="preserve">Ratio for a 50/50 split today</t>
  </si>
  <si>
    <t xml:space="preserve">SPCX shares you would receive</t>
  </si>
  <si>
    <t xml:space="preserve">Quick what-if: if TSLA (or value per share) were…</t>
  </si>
  <si>
    <t xml:space="preserve">Price per share ($)</t>
  </si>
  <si>
    <t xml:space="preserve">…my position would be (£)</t>
  </si>
  <si>
    <t xml:space="preserve">CONTROL PANEL – change the yellow cells; everything else recalculates</t>
  </si>
  <si>
    <t xml:space="preserve">WARNING: the "Tesla hits all targets" scenario assumes Tesla AND SpaceX deliver every stated ambition on time. Tesla has missed many past targets (e.g. it dropped its 20m-cars-a-year goal). This is a what-if model, not a forecast and not financial advice.</t>
  </si>
  <si>
    <t xml:space="preserve">Scenario (drop-down)</t>
  </si>
  <si>
    <t xml:space="preserve">Tesla hits all targets</t>
  </si>
  <si>
    <t xml:space="preserve">Scenario number (auto)</t>
  </si>
  <si>
    <t xml:space="preserve">Global input</t>
  </si>
  <si>
    <t xml:space="preserve">Value</t>
  </si>
  <si>
    <t xml:space="preserve">Unit</t>
  </si>
  <si>
    <t xml:space="preserve">Source / note</t>
  </si>
  <si>
    <t xml:space="preserve">Market data (update these when you check prices)</t>
  </si>
  <si>
    <t xml:space="preserve">TSLA share price</t>
  </si>
  <si>
    <t xml:space="preserve">$</t>
  </si>
  <si>
    <t xml:space="preserve">Close 8 Oct 2026 [S1]</t>
  </si>
  <si>
    <t xml:space="preserve">Price date</t>
  </si>
  <si>
    <t xml:space="preserve">8 Oct 2026</t>
  </si>
  <si>
    <t xml:space="preserve">Type the date you update the price</t>
  </si>
  <si>
    <t xml:space="preserve">TSLA shares outstanding</t>
  </si>
  <si>
    <t xml:space="preserve">bn</t>
  </si>
  <si>
    <t xml:space="preserve">3,949,547,394 at 16 Jul 2026 incl. unearned award shares [S4]</t>
  </si>
  <si>
    <t xml:space="preserve">SPCX (SpaceX) share price</t>
  </si>
  <si>
    <t xml:space="preserve">Close 8 Oct 2026 [S2]</t>
  </si>
  <si>
    <t xml:space="preserve">SPCX shares outstanding</t>
  </si>
  <si>
    <t xml:space="preserve">CNBC 13.57bn [S2]</t>
  </si>
  <si>
    <t xml:space="preserve">GBP/USD exchange rate ($ per £1)</t>
  </si>
  <si>
    <t xml:space="preserve">$/£</t>
  </si>
  <si>
    <t xml:space="preserve">Close 8 Oct 2026 [S3]. Original file used 1.3375 (0.74766 £/$)</t>
  </si>
  <si>
    <t xml:space="preserve">Your holdings &amp; personal settings</t>
  </si>
  <si>
    <t xml:space="preserve">Include Caroline's holdings in projections?</t>
  </si>
  <si>
    <t xml:space="preserve">No</t>
  </si>
  <si>
    <t xml:space="preserve">Yes/No</t>
  </si>
  <si>
    <t xml:space="preserve">Colin only by default</t>
  </si>
  <si>
    <t xml:space="preserve">UK inflation for "today's money" values</t>
  </si>
  <si>
    <t xml:space="preserve">%/yr</t>
  </si>
  <si>
    <t xml:space="preserve">Assumption</t>
  </si>
  <si>
    <t xml:space="preserve">SpaceX merger</t>
  </si>
  <si>
    <t xml:space="preserve">Tesla–SpaceX merger happens?</t>
  </si>
  <si>
    <t xml:space="preserve">Yes</t>
  </si>
  <si>
    <t xml:space="preserve">No deal announced as of 5 Oct 2026; Polymarket 62.5% by end-2027 [S21]</t>
  </si>
  <si>
    <t xml:space="preserve">Merger completion year</t>
  </si>
  <si>
    <t xml:space="preserve">year</t>
  </si>
  <si>
    <t xml:space="preserve">Assumption (prediction markets centre on 2027) [S21]</t>
  </si>
  <si>
    <t xml:space="preserve">Exchange-ratio method</t>
  </si>
  <si>
    <t xml:space="preserve">Today's market prices</t>
  </si>
  <si>
    <t xml:space="preserve">Market ratio ≈ TSLA/SPCX price; FinanceFeeds 2.385 at 18 Sep prices [S22]</t>
  </si>
  <si>
    <t xml:space="preserve">Premium paid to Tesla holders</t>
  </si>
  <si>
    <t xml:space="preserve">%</t>
  </si>
  <si>
    <t xml:space="preserve">0% = at market. Morningstar argues holders deserve 50–68% of combined co [S23]; ~3.34 ratio = 50/50 [S22]</t>
  </si>
  <si>
    <t xml:space="preserve">Manual exchange ratio (SPCX shares per TSLA share)</t>
  </si>
  <si>
    <t xml:space="preserve">x</t>
  </si>
  <si>
    <t xml:space="preserve">Only used if method = Manual</t>
  </si>
  <si>
    <t xml:space="preserve">Model mechanics</t>
  </si>
  <si>
    <t xml:space="preserve">Years for share price to converge to model value</t>
  </si>
  <si>
    <t xml:space="preserve">years</t>
  </si>
  <si>
    <t xml:space="preserve">Assumption – smooths the jump from today's market price</t>
  </si>
  <si>
    <t xml:space="preserve">Year multiple reaches its mature level</t>
  </si>
  <si>
    <t xml:space="preserve">Years for margins to reach mature level</t>
  </si>
  <si>
    <t xml:space="preserve">Tesla net cash &amp; investments</t>
  </si>
  <si>
    <t xml:space="preserve">$bn</t>
  </si>
  <si>
    <t xml:space="preserve">Cash $43.5bn – debt $9.3bn + SpaceX stake + bitcoin (30 Jun 2026) [S24]</t>
  </si>
  <si>
    <t xml:space="preserve">2026 starting points (Tesla)</t>
  </si>
  <si>
    <t xml:space="preserve">2026E vehicle deliveries</t>
  </si>
  <si>
    <t xml:space="preserve">m</t>
  </si>
  <si>
    <t xml:space="preserve">H1 0.84m [S6] + Q3 0.487m [S5] + Q4 assumed ~0.49m</t>
  </si>
  <si>
    <t xml:space="preserve">Cumulative deliveries at end-2025</t>
  </si>
  <si>
    <t xml:space="preserve">Tesla Q4 2025 deck [S7]</t>
  </si>
  <si>
    <t xml:space="preserve">Vehicle ASP 2026</t>
  </si>
  <si>
    <t xml:space="preserve">$k</t>
  </si>
  <si>
    <t xml:space="preserve">H1 2026 ≈ $42.3k incl. FSD [S24]</t>
  </si>
  <si>
    <t xml:space="preserve">Automotive EBITDA margin 2026</t>
  </si>
  <si>
    <t xml:space="preserve">Assumption [S24]</t>
  </si>
  <si>
    <t xml:space="preserve">Paid FSD subscribers 2026E</t>
  </si>
  <si>
    <t xml:space="preserve">1.48m at Q2 2026 [S6]</t>
  </si>
  <si>
    <t xml:space="preserve">Robotaxi fleet end-2026E</t>
  </si>
  <si>
    <t xml:space="preserve">~546 Texas vehicles by Sep 2026 + other metros (Assumption) [S24]</t>
  </si>
  <si>
    <t xml:space="preserve">Robotaxi fare 2026</t>
  </si>
  <si>
    <t xml:space="preserve">$/mile</t>
  </si>
  <si>
    <t xml:space="preserve">Assumption (Tesla does not publish)</t>
  </si>
  <si>
    <t xml:space="preserve">Robotaxi fare decline per year</t>
  </si>
  <si>
    <t xml:space="preserve">Robotaxi EBITDA margin 2026</t>
  </si>
  <si>
    <t xml:space="preserve">Optimus units delivered 2026E</t>
  </si>
  <si>
    <t xml:space="preserve">Assumption – "several hundred a week" reported, unconfirmed [S24]</t>
  </si>
  <si>
    <t xml:space="preserve">Optimus price 2026</t>
  </si>
  <si>
    <t xml:space="preserve">Optimus price decline per year</t>
  </si>
  <si>
    <t xml:space="preserve">Optimus EBITDA margin 2026 (start-up losses)</t>
  </si>
  <si>
    <t xml:space="preserve">Energy storage deployed 2026E</t>
  </si>
  <si>
    <t xml:space="preserve">GWh</t>
  </si>
  <si>
    <t xml:space="preserve">H1 22.3 [S6] + Q3 13.7 [S5] + Q4 assumed ~16</t>
  </si>
  <si>
    <t xml:space="preserve">Energy revenue per kWh 2026</t>
  </si>
  <si>
    <t xml:space="preserve">$/kWh</t>
  </si>
  <si>
    <t xml:space="preserve">H1 2026 ≈ $249 [S24]</t>
  </si>
  <si>
    <t xml:space="preserve">Energy price decline per year</t>
  </si>
  <si>
    <t xml:space="preserve">Energy EBITDA margin 2026</t>
  </si>
  <si>
    <t xml:space="preserve">Mgmt: long-term GM "mid to low 20%" [S15]</t>
  </si>
  <si>
    <t xml:space="preserve">Services &amp; other revenue 2026E</t>
  </si>
  <si>
    <t xml:space="preserve">H1 $8.3bn + H2 assumed [S24]</t>
  </si>
  <si>
    <t xml:space="preserve">Services growth fade factor per year</t>
  </si>
  <si>
    <t xml:space="preserve">Unallocated AI/R&amp;D opex</t>
  </si>
  <si>
    <t xml:space="preserve">% rev</t>
  </si>
  <si>
    <t xml:space="preserve">Depreciation &amp; amortisation</t>
  </si>
  <si>
    <t xml:space="preserve">Assumption (2025: $6.1bn on $94.8bn)</t>
  </si>
  <si>
    <t xml:space="preserve">Stock-based comp (treated as cost)</t>
  </si>
  <si>
    <t xml:space="preserve">Tax rate</t>
  </si>
  <si>
    <t xml:space="preserve">US federal rate</t>
  </si>
  <si>
    <t xml:space="preserve">SpaceX revenue 2026E</t>
  </si>
  <si>
    <t xml:space="preserve">H1 2026 $12.51bn [S17] + H2 assumed</t>
  </si>
  <si>
    <t xml:space="preserve">SpaceX EBITDA margin 2026</t>
  </si>
  <si>
    <t xml:space="preserve">H1 2026 ≈ 37% [S17]</t>
  </si>
  <si>
    <t xml:space="preserve">CEO award milestones (for the checker) [S8][S9]</t>
  </si>
  <si>
    <t xml:space="preserve">Market-cap milestone (top tranche)</t>
  </si>
  <si>
    <t xml:space="preserve">$8.5tn [S8]</t>
  </si>
  <si>
    <t xml:space="preserve">Cumulative vehicles delivered</t>
  </si>
  <si>
    <t xml:space="preserve">[S8] – Tesla counts all-time deliveries incl. robotaxis [S7]</t>
  </si>
  <si>
    <t xml:space="preserve">Paid FSD subscriptions</t>
  </si>
  <si>
    <t xml:space="preserve">[S8]</t>
  </si>
  <si>
    <t xml:space="preserve">Robotaxis in commercial operation</t>
  </si>
  <si>
    <t xml:space="preserve">Optimus bots delivered (cumulative)</t>
  </si>
  <si>
    <t xml:space="preserve">Adjusted EBITDA (top tranche)</t>
  </si>
  <si>
    <t xml:space="preserve">$400bn [S8]</t>
  </si>
  <si>
    <t xml:space="preserve">Award performance deadline (approx.)</t>
  </si>
  <si>
    <t xml:space="preserve">10-year award approved Nov 2025 [S9]</t>
  </si>
  <si>
    <t xml:space="preserve">Scenario assumption (edit any yellow cell)</t>
  </si>
  <si>
    <t xml:space="preserve">Base</t>
  </si>
  <si>
    <t xml:space="preserve">Conservative</t>
  </si>
  <si>
    <t xml:space="preserve">Source / basis</t>
  </si>
  <si>
    <t xml:space="preserve">Cars (consumer sales, S-curve: cap / midpoint year / steepness)</t>
  </si>
  <si>
    <t xml:space="preserve">Vehicle deliveries – long-run cap</t>
  </si>
  <si>
    <t xml:space="preserve">m/yr</t>
  </si>
  <si>
    <t xml:space="preserve">Targets: Tesla's old 20m/yr goal, dropped in 2024 [S12]</t>
  </si>
  <si>
    <t xml:space="preserve">Vehicle deliveries – S-curve midpoint</t>
  </si>
  <si>
    <t xml:space="preserve">Vehicle deliveries – steepness</t>
  </si>
  <si>
    <t xml:space="preserve">Vehicle ASP change per year</t>
  </si>
  <si>
    <t xml:space="preserve">Assumption (cheaper models)</t>
  </si>
  <si>
    <t xml:space="preserve">Vehicle ASP floor</t>
  </si>
  <si>
    <t xml:space="preserve">Automotive EBITDA margin (mature)</t>
  </si>
  <si>
    <t xml:space="preserve">FSD (personal cars)</t>
  </si>
  <si>
    <t xml:space="preserve">Paid FSD subscribers – cap</t>
  </si>
  <si>
    <t xml:space="preserve">Award milestone 10m [S8]</t>
  </si>
  <si>
    <t xml:space="preserve">Paid FSD – midpoint</t>
  </si>
  <si>
    <t xml:space="preserve">Paid FSD – steepness</t>
  </si>
  <si>
    <t xml:space="preserve">FSD revenue per subscriber</t>
  </si>
  <si>
    <t xml:space="preserve">$/month</t>
  </si>
  <si>
    <t xml:space="preserve">$99/month list price [S16]</t>
  </si>
  <si>
    <t xml:space="preserve">FSD EBITDA margin</t>
  </si>
  <si>
    <t xml:space="preserve">Assumption (software)</t>
  </si>
  <si>
    <t xml:space="preserve">Robotaxi (Tesla-owned fleet)</t>
  </si>
  <si>
    <t xml:space="preserve">Robotaxi fleet – cap</t>
  </si>
  <si>
    <t xml:space="preserve">m vehicles</t>
  </si>
  <si>
    <t xml:space="preserve">Award milestone 1m [S8]; Cybercab ≥2m/yr production goal [S14]</t>
  </si>
  <si>
    <t xml:space="preserve">Robotaxi fleet – midpoint</t>
  </si>
  <si>
    <t xml:space="preserve">Robotaxi fleet – steepness</t>
  </si>
  <si>
    <t xml:space="preserve">Paid miles per vehicle per year</t>
  </si>
  <si>
    <t xml:space="preserve">k miles</t>
  </si>
  <si>
    <t xml:space="preserve">Fare floor</t>
  </si>
  <si>
    <t xml:space="preserve">Assumption (Morgan Stanley uses ~$1.33 [S24])</t>
  </si>
  <si>
    <t xml:space="preserve">Robotaxi EBITDA margin (mature)</t>
  </si>
  <si>
    <t xml:space="preserve">Optimus humanoid robot</t>
  </si>
  <si>
    <t xml:space="preserve">Optimus units per year – cap</t>
  </si>
  <si>
    <t xml:space="preserve">Musk/Tesla: ~1m/yr Fremont, ~10m/yr Texas line [S13][S15]</t>
  </si>
  <si>
    <t xml:space="preserve">Optimus – midpoint</t>
  </si>
  <si>
    <t xml:space="preserve">Optimus – steepness</t>
  </si>
  <si>
    <t xml:space="preserve">Optimus price floor</t>
  </si>
  <si>
    <t xml:space="preserve">Musk has cited ~$20–30k long-run (Assumption)</t>
  </si>
  <si>
    <t xml:space="preserve">Optimus EBITDA margin (mature)</t>
  </si>
  <si>
    <t xml:space="preserve">Energy storage (Megapack / Powerwall)</t>
  </si>
  <si>
    <t xml:space="preserve">Storage deployed per year – cap</t>
  </si>
  <si>
    <t xml:space="preserve">GWh/yr</t>
  </si>
  <si>
    <t xml:space="preserve">Master Plan 3: world needs 240 TWh of storage [S11] (Tesla share = Assumption)</t>
  </si>
  <si>
    <t xml:space="preserve">Storage – midpoint</t>
  </si>
  <si>
    <t xml:space="preserve">Storage – steepness</t>
  </si>
  <si>
    <t xml:space="preserve">Energy revenue per kWh floor</t>
  </si>
  <si>
    <t xml:space="preserve">Energy EBITDA margin (mature)</t>
  </si>
  <si>
    <t xml:space="preserve">Mgmt "mid to low 20%" GM [S15]</t>
  </si>
  <si>
    <t xml:space="preserve">Services, valuation &amp; dilution</t>
  </si>
  <si>
    <t xml:space="preserve">Services growth (first year, then fades)</t>
  </si>
  <si>
    <t xml:space="preserve">Services EBITDA margin</t>
  </si>
  <si>
    <t xml:space="preserve">EV/EBITDA multiple in 2027 (forward)</t>
  </si>
  <si>
    <t xml:space="preserve">Mature EV/EBITDA multiple</t>
  </si>
  <si>
    <t xml:space="preserve">Tesla share dilution per year</t>
  </si>
  <si>
    <t xml:space="preserve">SpaceX (incl. xAI, X, Starlink)</t>
  </si>
  <si>
    <t xml:space="preserve">SpaceX revenue – cap</t>
  </si>
  <si>
    <t xml:space="preserve">$bn/yr</t>
  </si>
  <si>
    <t xml:space="preserve">Targets calibrated to ~$1tn revenue in 2030 internal plan [S18]</t>
  </si>
  <si>
    <t xml:space="preserve">SpaceX revenue – midpoint</t>
  </si>
  <si>
    <t xml:space="preserve">SpaceX revenue – steepness</t>
  </si>
  <si>
    <t xml:space="preserve">SpaceX EBITDA margin (mature)</t>
  </si>
  <si>
    <t xml:space="preserve">Assumption (Starlink segment ~63% in 2025 [S24])</t>
  </si>
  <si>
    <t xml:space="preserve">SpaceX share dilution per year</t>
  </si>
  <si>
    <t xml:space="preserve">Assumption (stock-funded deals e.g. Cursor)</t>
  </si>
  <si>
    <t xml:space="preserve">Merger synergy / premium to combined value</t>
  </si>
  <si>
    <t xml:space="preserve">Assumption (phased in over 3 years)</t>
  </si>
  <si>
    <t xml:space="preserve">How the S-curves work: value = 2026 start + (cap − start) × logistic progress, where progress is 50% at the midpoint year and "steepness" sets how fast it ramps. Bigger cap / earlier midpoint / higher steepness = more aggressive.</t>
  </si>
  <si>
    <t xml:space="preserve">Green "ACTIVE" column = the values used by the Projection sheet for the scenario chosen in B4. Proj_Targets / Proj_Base / Proj_Conservative always run all three for comparison.</t>
  </si>
  <si>
    <t xml:space="preserve">MY TESLA HOLDINGS – master list (share counts &amp; buy prices exactly as in your sheets)</t>
  </si>
  <si>
    <t xml:space="preserve">Edit shares / average buy prices in yellow. Prices &amp; FX come from Inputs. Optional column M: type your real £ cost if you know it (FX at purchase differs from today).</t>
  </si>
  <si>
    <t xml:space="preserve">Owner</t>
  </si>
  <si>
    <t xml:space="preserve">Platform</t>
  </si>
  <si>
    <t xml:space="preserve">Account type</t>
  </si>
  <si>
    <t xml:space="preserve">Shares</t>
  </si>
  <si>
    <t xml:space="preserve">Avg buy $</t>
  </si>
  <si>
    <t xml:space="preserve">Cost $</t>
  </si>
  <si>
    <t xml:space="preserve">Price $</t>
  </si>
  <si>
    <t xml:space="preserve">Value $</t>
  </si>
  <si>
    <t xml:space="preserve">Profit $</t>
  </si>
  <si>
    <t xml:space="preserve">Value £</t>
  </si>
  <si>
    <t xml:space="preserve">Cost £ (at today's FX)</t>
  </si>
  <si>
    <t xml:space="preserve">Actual £ cost (optional)</t>
  </si>
  <si>
    <t xml:space="preserve">Profit £</t>
  </si>
  <si>
    <t xml:space="preserve">Taken from sheet</t>
  </si>
  <si>
    <t xml:space="preserve">Colin</t>
  </si>
  <si>
    <t xml:space="preserve">Money Box</t>
  </si>
  <si>
    <t xml:space="preserve">ISA</t>
  </si>
  <si>
    <t xml:space="preserve">'Colin'!C3</t>
  </si>
  <si>
    <t xml:space="preserve">Trading 212</t>
  </si>
  <si>
    <t xml:space="preserve">Non-ISA</t>
  </si>
  <si>
    <t xml:space="preserve">'Colin'!C4</t>
  </si>
  <si>
    <t xml:space="preserve">'Colin'!C5</t>
  </si>
  <si>
    <t xml:space="preserve">Caroline</t>
  </si>
  <si>
    <t xml:space="preserve">'Colin &amp; CAroline'!D7</t>
  </si>
  <si>
    <t xml:space="preserve">? (Caroline sheet says 'Stocks')</t>
  </si>
  <si>
    <t xml:space="preserve">'Colin &amp; CAroline'!D8</t>
  </si>
  <si>
    <t xml:space="preserve">Colin total</t>
  </si>
  <si>
    <t xml:space="preserve">Caroline total</t>
  </si>
  <si>
    <t xml:space="preserve">Household total</t>
  </si>
  <si>
    <t xml:space="preserve">Shares used in projections</t>
  </si>
  <si>
    <t xml:space="preserve">Weighted average buy price used ($)</t>
  </si>
  <si>
    <t xml:space="preserve">Cost basis used ($)</t>
  </si>
  <si>
    <t xml:space="preserve">What does a $1 move in TSLA mean for me? (£)</t>
  </si>
  <si>
    <t xml:space="preserve">Data check notes:</t>
  </si>
  <si>
    <t xml:space="preserve">• Colin's share counts differ between sheets: 'Colin' (276.44 / 0 / 92.04 = 368.48), 'Colin &amp; CAroline' (275.56 / 55 / 33.12 = 363.68), 'InvestAnswers' (266.48 / 65.11 / 14.062 = 345.652). The 'Colin' sheet looks newest (non-ISA moved to ISA) and is used here – please confirm.</t>
  </si>
  <si>
    <t xml:space="preserve">• Trading 212 ISA average buy price is still $280.65 although shares rose from 33.12 to 92.04 – check the platform for the current average.</t>
  </si>
  <si>
    <t xml:space="preserve">• Caroline: 'Colin &amp; CAroline' sheet (109.6 / 6 shares) used; 'Caroline' sheet has 107.95 / 6.04. Account type for her Trading 212 holding is '?' in one sheet and 'Stocks' in the other.</t>
  </si>
  <si>
    <t xml:space="preserve">• £ cost is shown at today's FX. Your true £ cost depends on the exchange rate on each purchase date – type it in column M if you know it (the platform app shows it).</t>
  </si>
  <si>
    <t xml:space="preserve">20-YEAR PROJECTION – ACTIVE SCENARIO (2026–2046)</t>
  </si>
  <si>
    <t xml:space="preserve">Scenario #</t>
  </si>
  <si>
    <t xml:space="preserve">All figures are formulas driven by the Inputs sheet. $bn unless stated. 2047 row is a helper (forward EBITDA for the 2046 valuation).</t>
  </si>
  <si>
    <t xml:space="preserve">Exchange ratio used (SPCX per TSLA)</t>
  </si>
  <si>
    <t xml:space="preserve">Merger year</t>
  </si>
  <si>
    <t xml:space="preserve">Years from 2026</t>
  </si>
  <si>
    <t xml:space="preserve">Margin ramp</t>
  </si>
  <si>
    <t xml:space="preserve">Car deliveries (m)</t>
  </si>
  <si>
    <t xml:space="preserve">Cumulative deliveries incl. robotaxis (m)</t>
  </si>
  <si>
    <t xml:space="preserve">Car ASP ($k)</t>
  </si>
  <si>
    <t xml:space="preserve">Auto revenue ($bn)</t>
  </si>
  <si>
    <t xml:space="preserve">Paid FSD subs (m)</t>
  </si>
  <si>
    <t xml:space="preserve">FSD revenue ($bn)</t>
  </si>
  <si>
    <t xml:space="preserve">Robotaxi fleet (m)</t>
  </si>
  <si>
    <t xml:space="preserve">Avg fleet (m)</t>
  </si>
  <si>
    <t xml:space="preserve">Fare ($/mile)</t>
  </si>
  <si>
    <t xml:space="preserve">Robotaxi revenue ($bn)</t>
  </si>
  <si>
    <t xml:space="preserve">Optimus units (m)</t>
  </si>
  <si>
    <t xml:space="preserve">Cumulative Optimus (m)</t>
  </si>
  <si>
    <t xml:space="preserve">Optimus price ($k)</t>
  </si>
  <si>
    <t xml:space="preserve">Optimus revenue ($bn)</t>
  </si>
  <si>
    <t xml:space="preserve">Storage deployed (GWh)</t>
  </si>
  <si>
    <t xml:space="preserve">Energy $/kWh</t>
  </si>
  <si>
    <t xml:space="preserve">Energy revenue ($bn)</t>
  </si>
  <si>
    <t xml:space="preserve">Services revenue ($bn)</t>
  </si>
  <si>
    <t xml:space="preserve">TOTAL REVENUE ($bn)</t>
  </si>
  <si>
    <t xml:space="preserve">Adj. EBITDA ($bn)</t>
  </si>
  <si>
    <t xml:space="preserve">Net income ($bn)</t>
  </si>
  <si>
    <t xml:space="preserve">EV/EBITDA multiple (x)</t>
  </si>
  <si>
    <t xml:space="preserve">TSLA shares (bn)</t>
  </si>
  <si>
    <t xml:space="preserve">Tesla equity value ($bn)</t>
  </si>
  <si>
    <t xml:space="preserve">Tesla standalone $/share</t>
  </si>
  <si>
    <t xml:space="preserve">SpaceX revenue ($bn)</t>
  </si>
  <si>
    <t xml:space="preserve">SpaceX EBITDA ($bn)</t>
  </si>
  <si>
    <t xml:space="preserve">SPCX shares (bn)</t>
  </si>
  <si>
    <t xml:space="preserve">SpaceX equity value ($bn)</t>
  </si>
  <si>
    <t xml:space="preserve">SPCX $/share</t>
  </si>
  <si>
    <t xml:space="preserve">Merged? (1=yes)</t>
  </si>
  <si>
    <t xml:space="preserve">Combined equity ($bn)</t>
  </si>
  <si>
    <t xml:space="preserve">Combined shares (bn)</t>
  </si>
  <si>
    <t xml:space="preserve">Tesla holders' ownership</t>
  </si>
  <si>
    <t xml:space="preserve">VALUE PER ORIGINAL TSLA SHARE ($)</t>
  </si>
  <si>
    <t xml:space="preserve">My position (£, today's money)</t>
  </si>
  <si>
    <t xml:space="preserve">x today's price</t>
  </si>
  <si>
    <t xml:space="preserve">Yellow-highlighted row = merger completion year.</t>
  </si>
  <si>
    <t xml:space="preserve">Scenario parameters in use (pulled from Inputs)</t>
  </si>
  <si>
    <t xml:space="preserve">Scenario run: Tesla hits all targets</t>
  </si>
  <si>
    <t xml:space="preserve">Scenario run: Base</t>
  </si>
  <si>
    <t xml:space="preserve">Scenario run: Conservative</t>
  </si>
  <si>
    <t xml:space="preserve">SOURCES (every target-derived or market figure is tagged [S#] on the Inputs sheet)</t>
  </si>
  <si>
    <t xml:space="preserve">Ref</t>
  </si>
  <si>
    <t xml:space="preserve">What it supports</t>
  </si>
  <si>
    <t xml:space="preserve">Date</t>
  </si>
  <si>
    <t xml:space="preserve">Link</t>
  </si>
  <si>
    <t xml:space="preserve">S1</t>
  </si>
  <si>
    <t xml:space="preserve">StockAnalysis.com (S&amp;P Global data) – TSLA price history; TSLA close $375.00 on 8 Oct 2026</t>
  </si>
  <si>
    <t xml:space="preserve">https://stockanalysis.com/stocks/tsla/history/</t>
  </si>
  <si>
    <t xml:space="preserve">S2</t>
  </si>
  <si>
    <t xml:space="preserve">CNBC quote – SPCX close $160.57 on 8 Oct 2026, market cap $2.179tn, 13.57bn shares out</t>
  </si>
  <si>
    <t xml:space="preserve">https://www.cnbc.com/quotes/SPCX</t>
  </si>
  <si>
    <t xml:space="preserve">S3</t>
  </si>
  <si>
    <t xml:space="preserve">ExchangeRates.org.uk – GBP/USD close 1.3229 on 8 Oct 2026</t>
  </si>
  <si>
    <t xml:space="preserve">https://www.exchangerates.org.uk/GBP-USD-exchange-rate-history.html</t>
  </si>
  <si>
    <t xml:space="preserve">S4</t>
  </si>
  <si>
    <t xml:space="preserve">Tesla Form 10-Q Q2 2026 – 3,949,547,394 shares outstanding at 16 Jul 2026 (includes 423.7m restricted CEO-award shares)</t>
  </si>
  <si>
    <t xml:space="preserve">23 Jul 2026</t>
  </si>
  <si>
    <t xml:space="preserve">https://www.sec.gov/Archives/edgar/data/1318605/000162828026049270/tsla-20260630.htm</t>
  </si>
  <si>
    <t xml:space="preserve">S5</t>
  </si>
  <si>
    <t xml:space="preserve">Tesla Q3 2026 Production, Deliveries &amp; Deployments (8-K Ex. 99.1) – 486,532 deliveries, 13.7 GWh storage</t>
  </si>
  <si>
    <t xml:space="preserve">2 Oct 2026</t>
  </si>
  <si>
    <t xml:space="preserve">https://www.sec.gov/Archives/edgar/data/1318605/000162828026064366/exhibit991111111.htm</t>
  </si>
  <si>
    <t xml:space="preserve">S6</t>
  </si>
  <si>
    <t xml:space="preserve">Tesla Q2 2026 Update deck – H1 2026 deliveries ~0.84m, storage 22.3 GWh, 1.48m paid FSD users, robotaxi metros</t>
  </si>
  <si>
    <t xml:space="preserve">22 Jul 2026</t>
  </si>
  <si>
    <t xml:space="preserve">https://fortune.com/company-assets/1900/quartr/slides-31912339a9c7d4acc7a371cc8cfa6e43-2026-07-22-20-08-25.pdf</t>
  </si>
  <si>
    <t xml:space="preserve">S7</t>
  </si>
  <si>
    <t xml:space="preserve">Tesla Q4 2025 Update deck – FY2025 revenue $94.8bn, adj. EBITDA $14.6bn; cumulative deliveries 8.9m at end-2025</t>
  </si>
  <si>
    <t xml:space="preserve">28 Jan 2026</t>
  </si>
  <si>
    <t xml:space="preserve">https://assets-ir.tesla.com/tesla-contents/IR/TSLA-Q4-2025-Update.pdf</t>
  </si>
  <si>
    <t xml:space="preserve">S8</t>
  </si>
  <si>
    <t xml:space="preserve">Tesla 2025 CEO Performance Award (SEC 8-K Ex. 10.2) – 12 tranches; market cap $2tn→$8.5tn; 20m vehicles, 10m FSD subs, 1m bots, 1m robotaxis, $50bn→$400bn adj. EBITDA</t>
  </si>
  <si>
    <t xml:space="preserve">5 Sep 2025</t>
  </si>
  <si>
    <t xml:space="preserve">https://www.sec.gov/Archives/edgar/data/1318605/000110465925108507/tm2530590d1_ex10-2.htm</t>
  </si>
  <si>
    <t xml:space="preserve">S9</t>
  </si>
  <si>
    <t xml:space="preserve">Reuters – Tesla shareholders approve Musk pay plan (award approved 6 Nov 2025)</t>
  </si>
  <si>
    <t xml:space="preserve">6 Nov 2025</t>
  </si>
  <si>
    <t xml:space="preserve">https://www.reuters.com/legal/transactional/tesla-shareholders-approve-878-billion-pay-plan-elon-musk-2025-11-06/</t>
  </si>
  <si>
    <t xml:space="preserve">S10</t>
  </si>
  <si>
    <t xml:space="preserve">Tesla – Master Plan Part IV ("Sustainable Abundance": autonomy, Optimus, solar + storage)</t>
  </si>
  <si>
    <t xml:space="preserve">1 Sep 2025</t>
  </si>
  <si>
    <t xml:space="preserve">https://www.tesla.com/master-plan-part-4</t>
  </si>
  <si>
    <t xml:space="preserve">S11</t>
  </si>
  <si>
    <t xml:space="preserve">Tesla – Master Plan Part 3 (240 TWh storage, 30 TW renewables for a fully sustainable economy)</t>
  </si>
  <si>
    <t xml:space="preserve">5 Apr 2023</t>
  </si>
  <si>
    <t xml:space="preserve">https://www.tesla.com/master-plan-part-3</t>
  </si>
  <si>
    <t xml:space="preserve">S12</t>
  </si>
  <si>
    <t xml:space="preserve">Reuters – Tesla drops its goal of 20m vehicles a year by 2030 from impact report</t>
  </si>
  <si>
    <t xml:space="preserve">23 May 2024</t>
  </si>
  <si>
    <t xml:space="preserve">https://www.reuters.com/business/autos-transportation/tesla-drops-reference-its-goal-delivering-20-mln-vehicles-annually-impact-report-2024-05-23/</t>
  </si>
  <si>
    <t xml:space="preserve">S13</t>
  </si>
  <si>
    <t xml:space="preserve">All Things Elon – Tesla AI chief confirms 10m-a-year Optimus target (Fremont line ~1m/yr; Giga Texas ~10m/yr design capacity)</t>
  </si>
  <si>
    <t xml:space="preserve">1 Aug 2026</t>
  </si>
  <si>
    <t xml:space="preserve">https://www.allthings-elon.com/articles/tesla-optimus-10-million-annual-target-elluswamy-2026-08-01</t>
  </si>
  <si>
    <t xml:space="preserve">S14</t>
  </si>
  <si>
    <t xml:space="preserve">Eletric-vehicles.com – Tesla targets "at least" 2 million Cybercabs a year, Musk says</t>
  </si>
  <si>
    <t xml:space="preserve">2026</t>
  </si>
  <si>
    <t xml:space="preserve">https://eletric-vehicles.com/tesla/tesla-targets-at-least-2-million-cybercabs-produced-in-2026-musk-says/</t>
  </si>
  <si>
    <t xml:space="preserve">S15</t>
  </si>
  <si>
    <t xml:space="preserve">Tesla Q2 2026 earnings call transcript – Optimus 3 ~1m/yr, Optimus 4 ~10m/yr; energy GM "mid to low 20%"</t>
  </si>
  <si>
    <t xml:space="preserve">https://transcripts.platformaeronaut.com/transcripts/TSLA-2Q26-transcript</t>
  </si>
  <si>
    <t xml:space="preserve">S16</t>
  </si>
  <si>
    <t xml:space="preserve">Electrek – FSD becomes subscription-only ($99/month) after 14 Feb 2026</t>
  </si>
  <si>
    <t xml:space="preserve">14 Jan 2026</t>
  </si>
  <si>
    <t xml:space="preserve">https://electrek.co/2026/01/14/tesla-tsla-stop-selling-full-self-driving-package-subscription-only/</t>
  </si>
  <si>
    <t xml:space="preserve">S17</t>
  </si>
  <si>
    <t xml:space="preserve">SpaceX Q2 2026 results press release – H1 2026 revenue $12.51bn, Q2 adj. EBITDA $3.54bn</t>
  </si>
  <si>
    <t xml:space="preserve">4 Aug 2026</t>
  </si>
  <si>
    <t xml:space="preserve">https://static.poder360.com.br/uploads/2026/08/SpaceX-Reports-Second-Quarter-2026-Results.pdf</t>
  </si>
  <si>
    <t xml:space="preserve">S18</t>
  </si>
  <si>
    <t xml:space="preserve">SpaceX Q2 2026 earnings call (Motley Fool via Yahoo) – internal plan reaches ~$1tn revenue in 2030</t>
  </si>
  <si>
    <t xml:space="preserve">11 Aug 2026</t>
  </si>
  <si>
    <t xml:space="preserve">https://finance.yahoo.com/markets/stocks/articles/spacex-spcx-q2-2026-earnings-004252131.html</t>
  </si>
  <si>
    <t xml:space="preserve">S19</t>
  </si>
  <si>
    <t xml:space="preserve">CNBC – SpaceX/xAI merger valued at $1.25tn</t>
  </si>
  <si>
    <t xml:space="preserve">3 Feb 2026</t>
  </si>
  <si>
    <t xml:space="preserve">https://www.cnbc.com/2026/02/03/musk-xai-spacex-biggest-merger-ever.html</t>
  </si>
  <si>
    <t xml:space="preserve">S20</t>
  </si>
  <si>
    <t xml:space="preserve">Crypto Briefing – SPCX IPO 12 Jun 2026 at $135 (largest IPO ever)</t>
  </si>
  <si>
    <t xml:space="preserve">Jul 2026</t>
  </si>
  <si>
    <t xml:space="preserve">https://cryptobriefing.com/spacex-stock-slides-ipo-price/</t>
  </si>
  <si>
    <t xml:space="preserve">S21</t>
  </si>
  <si>
    <t xml:space="preserve">24/7 Wall St – no Tesla–SpaceX deal announced; Polymarket 62.5% for announcement by 31 Dec 2027</t>
  </si>
  <si>
    <t xml:space="preserve">5 Oct 2026</t>
  </si>
  <si>
    <t xml:space="preserve">https://247wallst.com/investing/2026/10/05/tesla-is-down-16-this-year-and-bettors-now-favor-a-musk-merger-with-spacex/</t>
  </si>
  <si>
    <t xml:space="preserve">S22</t>
  </si>
  <si>
    <t xml:space="preserve">FinanceFeeds – merger math: 2.385 SPCX per TSLA at 18 Sep prices (Tesla holders ~41.7%); 50/50 needs ~3.34</t>
  </si>
  <si>
    <t xml:space="preserve">21 Sep 2026</t>
  </si>
  <si>
    <t xml:space="preserve">https://financefeeds.com/tesla-spacex-merger-39-percent-premium-2-trillion-trigger/</t>
  </si>
  <si>
    <t xml:space="preserve">S23</t>
  </si>
  <si>
    <t xml:space="preserve">Morningstar – Tesla holders should get 50–68% of any combined company; China divestiture report</t>
  </si>
  <si>
    <t xml:space="preserve">31 Jul 2026</t>
  </si>
  <si>
    <t xml:space="preserve">https://www.morningstar.com/stocks/tesla-reported-china-divestiture-plan-could-clear-path-spacex-merger</t>
  </si>
  <si>
    <t xml:space="preserve">S24</t>
  </si>
  <si>
    <t xml:space="preserve">Prior research for Colin: Tesla 10-yr forecast (30 Sep 2026) – net cash + SpaceX stake + bitcoin ≈ $37.7bn; 2026 anchors</t>
  </si>
  <si>
    <t xml:space="preserve">30 Sep 2026</t>
  </si>
  <si>
    <t xml:space="preserve">/workspace/tesla-forecast/Tesla_10yr_forecast.md</t>
  </si>
  <si>
    <t xml:space="preserve">Not verified / caveats</t>
  </si>
  <si>
    <t xml:space="preserve">•</t>
  </si>
  <si>
    <t xml:space="preserve">Q4 2026 deliveries &amp; storage, Optimus 2026 units, robotaxi fleet size, fare per mile and FSD revenue are assumptions – Tesla does not publish them (or has not yet).</t>
  </si>
  <si>
    <t xml:space="preserve">SpaceX 2026 revenue ($32bn) is an estimate built from H1 actuals; SPCX share count is approximate (CNBC 13.57bn).</t>
  </si>
  <si>
    <t xml:space="preserve">No Tesla–SpaceX merger agreement exists; the exchange ratio, timing and synergies are pure assumptions.</t>
  </si>
  <si>
    <t xml:space="preserve">The 20m-cars-a-year goal was dropped by Tesla in 2024 [S12]; it is used only as the long-run cap in the "hits all targets" case.</t>
  </si>
  <si>
    <t xml:space="preserve">Optimus long-run price (~$20–30k) is commonly attributed to Musk; not re-verified for this file – treated as an assumption.</t>
  </si>
  <si>
    <t xml:space="preserve">CHANGELOG – issues found and fixed (9 Oct 2026)</t>
  </si>
  <si>
    <t xml:space="preserve">Sheet</t>
  </si>
  <si>
    <t xml:space="preserve">Issue found</t>
  </si>
  <si>
    <t xml:space="preserve">Fix</t>
  </si>
  <si>
    <t xml:space="preserve">E6 average buy price hard-coded as =253; true share-weighted average is ≈ $247.99</t>
  </si>
  <si>
    <t xml:space="preserve">Now SUMPRODUCT weighted average</t>
  </si>
  <si>
    <t xml:space="preserve">F3:F6 / G3:G6 £ prices typed in at a fixed FX (0.74766 £/$ ≈ 1.3375 $/£) – stale and not linked</t>
  </si>
  <si>
    <t xml:space="preserve">Now = $ price ÷ live GBP/USD on Inputs</t>
  </si>
  <si>
    <t xml:space="preserve">D3:D6 price $369.57 typed into every row (stale)</t>
  </si>
  <si>
    <t xml:space="preserve">All rows link to Inputs TSLA price ($375.00, 8 Oct 2026)</t>
  </si>
  <si>
    <t xml:space="preserve">K4 =(I4-H4)/H4 → #DIV/0! because Trading 212 non-ISA has 0 shares</t>
  </si>
  <si>
    <t xml:space="preserve">Wrapped in IFERROR</t>
  </si>
  <si>
    <t xml:space="preserve">G6 £ average typed in (189.16) from the wrong 253 figure</t>
  </si>
  <si>
    <t xml:space="preserve">Formula from the corrected average</t>
  </si>
  <si>
    <t xml:space="preserve">Chart: category labels typed in and mismatched (row 4 Non-ISA labelled "Trading 212 ISA"); included the Total bar</t>
  </si>
  <si>
    <t xml:space="preserve">Rebuilt chart from live cells, totals excluded</t>
  </si>
  <si>
    <t xml:space="preserve">Colin &amp; CAroline</t>
  </si>
  <si>
    <t xml:space="preserve">F6 and F9 both =253 (Caroline's true average ≈ $354); H6/H9 typed £ values</t>
  </si>
  <si>
    <t xml:space="preserve">Weighted-average formulas; £ formulas; grand-total prices added</t>
  </si>
  <si>
    <t xml:space="preserve">Chart ignored Caroline's rows and had mismatched typed-in labels</t>
  </si>
  <si>
    <t xml:space="preserve">Two rebuilt charts (Colin, Caroline)</t>
  </si>
  <si>
    <t xml:space="preserve">C8 account type "?"</t>
  </si>
  <si>
    <t xml:space="preserve">Flagged with a comment (Caroline sheet says "Stocks")</t>
  </si>
  <si>
    <t xml:space="preserve">All holdings sheets</t>
  </si>
  <si>
    <t xml:space="preserve">Share counts differ between sheets (Colin 368.48 vs 363.68 vs 345.652; Caroline 115.6 vs 113.99)</t>
  </si>
  <si>
    <t xml:space="preserve">New Holdings master sheet; differences flagged for you to confirm</t>
  </si>
  <si>
    <t xml:space="preserve">InvestAnswers</t>
  </si>
  <si>
    <t xml:space="preserve">J3 gain % divided by current value instead of cost (showed 37.0% at $369.57; correct was 58.6%)</t>
  </si>
  <si>
    <t xml:space="preserve">Fixed to ÷ cost</t>
  </si>
  <si>
    <t xml:space="preserve">J4, J5 gain % missing; J6 just =J3</t>
  </si>
  <si>
    <t xml:space="preserve">Added; J6 now total gain</t>
  </si>
  <si>
    <t xml:space="preserve">D6 =SUM(D3:D5/3) – simple average of prices, not weighted by shares</t>
  </si>
  <si>
    <t xml:space="preserve">Now total cost ÷ total shares</t>
  </si>
  <si>
    <t xml:space="preserve">I3:I6 and row 7 £ figures typed in; I8 note incomplete; stray "Table 1" in L26</t>
  </si>
  <si>
    <t xml:space="preserve">Formulas; $1-move calculation completed; stray text removed</t>
  </si>
  <si>
    <t xml:space="preserve">Robotaxi Prediction</t>
  </si>
  <si>
    <t xml:space="preserve">All numbers typed in; "300x" and "83 Trillion" stored as text; 83tn and $139.72bn profit don't reconcile with 2m × $100k × 50%; 3.33bn shares and $486 base are stale</t>
  </si>
  <si>
    <t xml:space="preserve">Rebuilt with formulas (multiple on profit or revenue, drop-down), live share count &amp; price; originals kept in column C</t>
  </si>
  <si>
    <t xml:space="preserve">CD Future predictions</t>
  </si>
  <si>
    <t xml:space="preserve">£ columns G/J typed in at old FX; constants entered as formulas (=435 etc.); duplicated years with ambiguous source labels</t>
  </si>
  <si>
    <t xml:space="preserve">£ formulas; constants cleaned; new column L values each prediction on current holdings; ambiguity flagged</t>
  </si>
  <si>
    <t xml:space="preserve">Rows 4 &amp; 6 (£ versions) unlabeled typed-in numbers; "Trading 213" typo</t>
  </si>
  <si>
    <t xml:space="preserve">Labelled formulas; typo fixed</t>
  </si>
  <si>
    <t xml:space="preserve">CT Future prediction</t>
  </si>
  <si>
    <t xml:space="preserve">£ column typed in at old FX; D3 =432 constant-as-formula</t>
  </si>
  <si>
    <t xml:space="preserve">Formulas</t>
  </si>
  <si>
    <t xml:space="preserve">All sheets</t>
  </si>
  <si>
    <t xml:space="preserve">Every simple formula was stored as an array formula (Numbers export artefact); "Table 1" placeholder titles</t>
  </si>
  <si>
    <t xml:space="preserve">Converted to normal formulas; titles renamed</t>
  </si>
  <si>
    <t xml:space="preserve">New</t>
  </si>
  <si>
    <t xml:space="preserve">Inputs (control panel with scenario drop-down &amp; yellow inputs), Dashboard, Holdings, Projection ×4, Sources, Changelog, README</t>
  </si>
  <si>
    <t xml:space="preserve">Added</t>
  </si>
  <si>
    <t xml:space="preserve">20-year projection 2026–2046 with Tesla segments, CEO-award milestone checker, SpaceX merger (exchange ratio, merger year, premium, synergies)</t>
  </si>
  <si>
    <t xml:space="preserve">Colin – snapshot (prices &amp; FX now live from Inputs)</t>
  </si>
  <si>
    <t xml:space="preserve">Stock Platform </t>
  </si>
  <si>
    <t xml:space="preserve">Account   Type</t>
  </si>
  <si>
    <t xml:space="preserve">Number  of shares </t>
  </si>
  <si>
    <t xml:space="preserve">Current stock Price $</t>
  </si>
  <si>
    <t xml:space="preserve">Average buy price $</t>
  </si>
  <si>
    <t xml:space="preserve">Current stock Price £</t>
  </si>
  <si>
    <t xml:space="preserve">Average buy price £</t>
  </si>
  <si>
    <t xml:space="preserve">Total initial Investment </t>
  </si>
  <si>
    <t xml:space="preserve">Total stock Price </t>
  </si>
  <si>
    <t xml:space="preserve">Total Profit </t>
  </si>
  <si>
    <t xml:space="preserve">Total percentage gain</t>
  </si>
  <si>
    <t xml:space="preserve">ISA Shares</t>
  </si>
  <si>
    <t xml:space="preserve">Non ISA shares</t>
  </si>
  <si>
    <t xml:space="preserve">Total </t>
  </si>
  <si>
    <t xml:space="preserve">Fixed: avg buy price was hard-coded 253 (true weighted avg ≈ $248); £ prices were typed in at an old FX rate; K4 gave #DIV/0!; chart labels were mismatched. £ cost uses today's FX – see Holdings col M.</t>
  </si>
  <si>
    <t xml:space="preserve">Colin &amp; Caroline – snapshot (prices &amp; FX now live from Inputs)</t>
  </si>
  <si>
    <t xml:space="preserve">CD - Money Box</t>
  </si>
  <si>
    <t xml:space="preserve">CD -Trading 212</t>
  </si>
  <si>
    <t xml:space="preserve">CD - Trading 212</t>
  </si>
  <si>
    <t xml:space="preserve">CT - Money Box</t>
  </si>
  <si>
    <t xml:space="preserve">CT - Trading 212</t>
  </si>
  <si>
    <t xml:space="preserve">?</t>
  </si>
  <si>
    <t xml:space="preserve">Grand Total</t>
  </si>
  <si>
    <t xml:space="preserve">Fixed: hard-coded avg buy price 253 for both CD and CT totals (CT true avg ≈ $354); £ values typed in; chart labels mismatched &amp; excluded Caroline. Shares here differ from the Colin sheet – see Holdings notes.</t>
  </si>
  <si>
    <t xml:space="preserve">https://www.youtube.com/live/05Q876varGE?si=USo_jcTC7ZKefdZ1</t>
  </si>
  <si>
    <t xml:space="preserve">Account Type</t>
  </si>
  <si>
    <t xml:space="preserve">Number of shares </t>
  </si>
  <si>
    <t xml:space="preserve">Average buy price</t>
  </si>
  <si>
    <t xml:space="preserve">Current stock Price</t>
  </si>
  <si>
    <t xml:space="preserve">Converted to pounds </t>
  </si>
  <si>
    <t xml:space="preserve">In £ (today's FX)</t>
  </si>
  <si>
    <t xml:space="preserve">$1 × total shares (£) =</t>
  </si>
  <si>
    <t xml:space="preserve">Fixed: gain % divided by current value instead of cost (J3 showed 37% instead of 58.6%); J4/J5 missing; D6 was a simple average of prices (SUM(D3:D5/3)) – now weighted; J6 just copied J3; £ conversions were typed in. Older share counts kept as entered.</t>
  </si>
  <si>
    <t xml:space="preserve">Robotaxi fleet @investAnswers</t>
  </si>
  <si>
    <t xml:space="preserve">Category</t>
  </si>
  <si>
    <t xml:space="preserve">As originally entered</t>
  </si>
  <si>
    <t xml:space="preserve">Note</t>
  </si>
  <si>
    <t xml:space="preserve">Model Assumptions</t>
  </si>
  <si>
    <t xml:space="preserve">1. Fleet Size</t>
  </si>
  <si>
    <t xml:space="preserve">2. Rev/Car</t>
  </si>
  <si>
    <t xml:space="preserve">3. Rev Multiple</t>
  </si>
  <si>
    <t xml:space="preserve">300x</t>
  </si>
  <si>
    <t xml:space="preserve">4. Margin</t>
  </si>
  <si>
    <t xml:space="preserve">Multiple applied to</t>
  </si>
  <si>
    <t xml:space="preserve">Profit</t>
  </si>
  <si>
    <t xml:space="preserve">Implied Valuation Add</t>
  </si>
  <si>
    <t xml:space="preserve">83 Trillion</t>
  </si>
  <si>
    <t xml:space="preserve">Original "83 Trillion" did not reconcile: 2m cars × $100k = $200bn revenue; 50% margin = $100bn profit; 300x profit = $30tn (300x revenue = $60tn).</t>
  </si>
  <si>
    <t xml:space="preserve">vs Waymo</t>
  </si>
  <si>
    <t xml:space="preserve">Share Price Impact</t>
  </si>
  <si>
    <t xml:space="preserve">Assumes</t>
  </si>
  <si>
    <t xml:space="preserve">~3.33B shares</t>
  </si>
  <si>
    <t xml:space="preserve">Now uses the real share count (3.95bn) from Inputs instead of 3.33bn.</t>
  </si>
  <si>
    <t xml:space="preserve">Total Implied Price</t>
  </si>
  <si>
    <t xml:space="preserve">Base = today's TSLA price (Inputs)</t>
  </si>
  <si>
    <t xml:space="preserve">Base $486 + Impact</t>
  </si>
  <si>
    <t xml:space="preserve">Old base $486 replaced with live price.</t>
  </si>
  <si>
    <t xml:space="preserve">Annual robotaxi revenue ($)</t>
  </si>
  <si>
    <t xml:space="preserve">Projected Annual Profit</t>
  </si>
  <si>
    <t xml:space="preserve">Original $139.72bn ≠ 2m × $100k × 50% = $100bn.</t>
  </si>
  <si>
    <t xml:space="preserve">Net margin used</t>
  </si>
  <si>
    <t xml:space="preserve">YouTube link to video</t>
  </si>
  <si>
    <t xml:space="preserve">Table 1</t>
  </si>
  <si>
    <t xml:space="preserve">Shares </t>
  </si>
  <si>
    <t xml:space="preserve">Predicted stock Price</t>
  </si>
  <si>
    <t xml:space="preserve">Actual stock price </t>
  </si>
  <si>
    <t xml:space="preserve">Value at CURRENT holdings (£)</t>
  </si>
  <si>
    <t xml:space="preserve">Gain vs cost (x)</t>
  </si>
  <si>
    <t xml:space="preserve">Jo Bhakdi prediction</t>
  </si>
  <si>
    <t xml:space="preserve">Randy Kirk’s prediction</t>
  </si>
  <si>
    <t xml:space="preserve">Fixed: £ columns were typed-in numbers at an old FX rate – now formulas. Shares (345.652) &amp; avg price (253) kept as you entered them; column L re-prices each prediction on your CURRENT holdings (Holdings sheet).</t>
  </si>
  <si>
    <t xml:space="preserve">Check: years 2025–2030 appear twice (two prediction series interleaved); the source labels in column K sit beside alternate rows and are ambiguous.</t>
  </si>
  <si>
    <t xml:space="preserve">(in £, today's FX)</t>
  </si>
  <si>
    <t xml:space="preserve">Stocks </t>
  </si>
  <si>
    <t xml:space="preserve">Fixed: £ rows (4 &amp; 6) were unlabeled typed-in numbers – now formulas; "Trading 213" typo. Shares here (107.95 / 6.04) differ from the Colin &amp; CAroline sheet (109.6 / 6).</t>
  </si>
  <si>
    <t xml:space="preserve">stock Price</t>
  </si>
  <si>
    <t xml:space="preserve">Fixed: £ column typed in at an old FX rate – now formulas. Share counts (107 → 120 from 2033) kept as entered; Caroline currently holds ~115.6 (see Holdings).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</si>
</sst>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[$$-409]#,##0.00"/>
    <numFmt numFmtId="166" formatCode="#,##0.00"/>
    <numFmt numFmtId="167" formatCode="[$£-809]#,##0"/>
    <numFmt numFmtId="168" formatCode="0.0%"/>
    <numFmt numFmtId="169" formatCode="[$£-809]#,##0.00"/>
    <numFmt numFmtId="170" formatCode="[$$-409]#,##0"/>
    <numFmt numFmtId="171" formatCode="0.0\x"/>
    <numFmt numFmtId="172" formatCode="#,##0"/>
    <numFmt numFmtId="173" formatCode="#,##0.0"/>
    <numFmt numFmtId="174" formatCode="0.000"/>
    <numFmt numFmtId="175" formatCode="0.0000"/>
    <numFmt numFmtId="176" formatCode="0.00"/>
    <numFmt numFmtId="177" formatCode="0"/>
    <numFmt numFmtId="178" formatCode="0.0"/>
    <numFmt numFmtId="179" formatCode="#,##0.000"/>
    <numFmt numFmtId="180" formatCode="0%"/>
    <numFmt numFmtId="181" formatCode="@"/>
    <numFmt numFmtId="182" formatCode="0.00%"/>
    <numFmt numFmtId="183" formatCode="0%;[RED]0%"/>
    <numFmt numFmtId="184" formatCode="[$$-409]0.00"/>
    <numFmt numFmtId="185" formatCode="0\x"/>
    <numFmt numFmtId="186" formatCode="[$$-409]#,##0,,,,&quot; tn&quot;"/>
    <numFmt numFmtId="187" formatCode="#,##0,,,&quot; bn shares&quot;"/>
  </numFmts>
  <fonts count="37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31937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3"/>
      <color rgb="FF006100"/>
      <name val="Cambria"/>
      <family val="0"/>
      <charset val="1"/>
    </font>
    <font>
      <b val="true"/>
      <sz val="18"/>
      <color rgb="FF000000"/>
      <name val="Helvetica Neue"/>
      <family val="2"/>
    </font>
    <font>
      <sz val="10"/>
      <color rgb="FF000000"/>
      <name val="Helvetica Neue"/>
      <family val="2"/>
    </font>
    <font>
      <b val="true"/>
      <sz val="10"/>
      <color rgb="FF000000"/>
      <name val="Helvetica Neue"/>
      <family val="2"/>
    </font>
    <font>
      <b val="true"/>
      <sz val="13"/>
      <name val="Cambria"/>
      <family val="0"/>
      <charset val="1"/>
    </font>
    <font>
      <b val="true"/>
      <sz val="13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E31937"/>
      <name val="Cambria"/>
      <family val="0"/>
      <charset val="1"/>
    </font>
    <font>
      <i val="true"/>
      <sz val="11"/>
      <color rgb="FFA6A6A6"/>
      <name val="Cambria"/>
      <family val="0"/>
      <charset val="1"/>
    </font>
    <font>
      <sz val="12"/>
      <name val="Helvetica Neue"/>
      <family val="0"/>
      <charset val="1"/>
    </font>
    <font>
      <b val="true"/>
      <sz val="10"/>
      <name val="Helvetica Neue"/>
      <family val="0"/>
      <charset val="1"/>
    </font>
    <font>
      <sz val="10"/>
      <name val="Helvetica Neue Medium"/>
      <family val="0"/>
      <charset val="1"/>
    </font>
    <font>
      <i val="true"/>
      <sz val="9"/>
      <color rgb="FFC00000"/>
      <name val="Cambria"/>
      <family val="0"/>
      <charset val="1"/>
    </font>
    <font>
      <sz val="10.8"/>
      <color rgb="FF000000"/>
      <name val="Helvetica Neue"/>
      <family val="2"/>
    </font>
    <font>
      <b val="true"/>
      <sz val="12"/>
      <color rgb="FF000000"/>
      <name val="Helvetica Neue"/>
      <family val="2"/>
    </font>
    <font>
      <sz val="9"/>
      <color rgb="FF000000"/>
      <name val="Helvetica Neue"/>
      <family val="2"/>
    </font>
    <font>
      <sz val="12"/>
      <color rgb="FF000000"/>
      <name val="Helvetica Neue"/>
      <family val="2"/>
    </font>
    <font>
      <sz val="10"/>
      <name val="Arial"/>
      <family val="2"/>
    </font>
    <font>
      <sz val="10"/>
      <color rgb="FF0000FF"/>
      <name val="Helvetica Neue"/>
      <family val="0"/>
      <charset val="1"/>
    </font>
    <font>
      <b val="true"/>
      <sz val="10"/>
      <color rgb="FF0000FF"/>
      <name val="Helvetica Neue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2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2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2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2" fontId="27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2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5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6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7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3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1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</font>
      <border diagonalUp="false" diagonalDown="false">
        <left style="thin">
          <color rgb="FFE31937"/>
        </left>
        <right style="thin">
          <color rgb="FFE31937"/>
        </right>
        <top/>
        <bottom/>
        <diagonal/>
      </border>
    </dxf>
    <dxf>
      <font>
        <b val="1"/>
        <color rgb="FFC00000"/>
      </font>
      <fill>
        <patternFill>
          <bgColor rgb="FFFFC7CE"/>
        </patternFill>
      </fill>
    </dxf>
    <dxf>
      <font>
        <b val="1"/>
        <color rgb="FFC00000"/>
      </font>
    </dxf>
    <dxf>
      <font>
        <b val="1"/>
        <color rgb="FF006100"/>
      </font>
    </dxf>
    <dxf>
      <fill>
        <patternFill>
          <bgColor rgb="FFFFE699"/>
        </patternFill>
      </fill>
    </dxf>
  </dxfs>
  <colors>
    <indexedColors>
      <rgbColor rgb="FF000000"/>
      <rgbColor rgb="FFFFFFFF"/>
      <rgbColor rgb="FFE31937"/>
      <rgbColor rgb="FF00FF00"/>
      <rgbColor rgb="FF0000FF"/>
      <rgbColor rgb="FFFFE699"/>
      <rgbColor rgb="FFFF00FF"/>
      <rgbColor rgb="FF10E6CE"/>
      <rgbColor rgb="FF9C0006"/>
      <rgbColor rgb="FF006100"/>
      <rgbColor rgb="FF000080"/>
      <rgbColor rgb="FF808000"/>
      <rgbColor rgb="FF800080"/>
      <rgbColor rgb="FF2E7D32"/>
      <rgbColor rgb="FFBFBFBF"/>
      <rgbColor rgb="FF7F7F7F"/>
      <rgbColor rgb="FFA6A6A6"/>
      <rgbColor rgb="FF993366"/>
      <rgbColor rgb="FFFFF2CC"/>
      <rgbColor rgb="FFE2EFDA"/>
      <rgbColor rgb="FF660066"/>
      <rgbColor rgb="FFFF42A1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009EF9"/>
      <rgbColor rgb="FF0000FF"/>
      <rgbColor rgb="FF00A2FF"/>
      <rgbColor rgb="FFD9E1F2"/>
      <rgbColor rgb="FFC6EFCE"/>
      <rgbColor rgb="FFFFEB9C"/>
      <rgbColor rgb="FFB8B8B8"/>
      <rgbColor rgb="FFF9F9F9"/>
      <rgbColor rgb="FFCC99FF"/>
      <rgbColor rgb="FFFFC7CE"/>
      <rgbColor rgb="FF3366FF"/>
      <rgbColor rgb="FF16E7CF"/>
      <rgbColor rgb="FF61D836"/>
      <rgbColor rgb="FFFFD932"/>
      <rgbColor rgb="FFE7A13D"/>
      <rgbColor rgb="FFFF644E"/>
      <rgbColor rgb="FF595959"/>
      <rgbColor rgb="FF878787"/>
      <rgbColor rgb="FF1F3864"/>
      <rgbColor rgb="FF5D9648"/>
      <rgbColor rgb="FF003300"/>
      <rgbColor rgb="FF333300"/>
      <rgbColor rgb="FF9C5700"/>
      <rgbColor rgb="FF993366"/>
      <rgbColor rgb="FF2E57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Value per original TSLA share ($) – all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Targets $/sh</c:v>
                </c:pt>
              </c:strCache>
            </c:strRef>
          </c:tx>
          <c:spPr>
            <a:solidFill>
              <a:srgbClr val="e31937"/>
            </a:solidFill>
            <a:ln w="28080">
              <a:solidFill>
                <a:srgbClr val="e3193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Dashboard!$A$19:$A$39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Dashboard!$B$19:$B$39</c:f>
              <c:numCache>
                <c:formatCode>[$$-409]#,##0</c:formatCode>
                <c:ptCount val="21"/>
                <c:pt idx="0">
                  <c:v>375</c:v>
                </c:pt>
                <c:pt idx="1">
                  <c:v>500.296265658405</c:v>
                </c:pt>
                <c:pt idx="2">
                  <c:v>993.908097190529</c:v>
                </c:pt>
                <c:pt idx="3">
                  <c:v>2003.38658059098</c:v>
                </c:pt>
                <c:pt idx="4">
                  <c:v>2700.84825741398</c:v>
                </c:pt>
                <c:pt idx="5">
                  <c:v>3348.26388238396</c:v>
                </c:pt>
                <c:pt idx="6">
                  <c:v>3684.1125889317</c:v>
                </c:pt>
                <c:pt idx="7">
                  <c:v>3875.01891616371</c:v>
                </c:pt>
                <c:pt idx="8">
                  <c:v>3975.13680257006</c:v>
                </c:pt>
                <c:pt idx="9">
                  <c:v>3966.65915441453</c:v>
                </c:pt>
                <c:pt idx="10">
                  <c:v>3858.67105722262</c:v>
                </c:pt>
                <c:pt idx="11">
                  <c:v>3678.22977382841</c:v>
                </c:pt>
                <c:pt idx="12">
                  <c:v>3434.65281825531</c:v>
                </c:pt>
                <c:pt idx="13">
                  <c:v>3462.70634097558</c:v>
                </c:pt>
                <c:pt idx="14">
                  <c:v>3465.71943185683</c:v>
                </c:pt>
                <c:pt idx="15">
                  <c:v>3451.72442292509</c:v>
                </c:pt>
                <c:pt idx="16">
                  <c:v>3429.99195096582</c:v>
                </c:pt>
                <c:pt idx="17">
                  <c:v>3403.0898688723</c:v>
                </c:pt>
                <c:pt idx="18">
                  <c:v>3373.32731327045</c:v>
                </c:pt>
                <c:pt idx="19">
                  <c:v>3340.94458996847</c:v>
                </c:pt>
                <c:pt idx="20">
                  <c:v>3307.02949550668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Dashboard!C18</c:f>
              <c:strCache>
                <c:ptCount val="1"/>
                <c:pt idx="0">
                  <c:v>Base $/sh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Dashboard!$A$19:$A$39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Dashboard!$C$19:$C$39</c:f>
              <c:numCache>
                <c:formatCode>[$$-409]#,##0</c:formatCode>
                <c:ptCount val="21"/>
                <c:pt idx="0">
                  <c:v>375</c:v>
                </c:pt>
                <c:pt idx="1">
                  <c:v>299.098122254049</c:v>
                </c:pt>
                <c:pt idx="2">
                  <c:v>264.259390593373</c:v>
                </c:pt>
                <c:pt idx="3">
                  <c:v>283.985403943976</c:v>
                </c:pt>
                <c:pt idx="4">
                  <c:v>365.493901123976</c:v>
                </c:pt>
                <c:pt idx="5">
                  <c:v>455.213721586134</c:v>
                </c:pt>
                <c:pt idx="6">
                  <c:v>529.785270847763</c:v>
                </c:pt>
                <c:pt idx="7">
                  <c:v>592.905670218474</c:v>
                </c:pt>
                <c:pt idx="8">
                  <c:v>641.322179037079</c:v>
                </c:pt>
                <c:pt idx="9">
                  <c:v>670.216751481485</c:v>
                </c:pt>
                <c:pt idx="10">
                  <c:v>679.041241775785</c:v>
                </c:pt>
                <c:pt idx="11">
                  <c:v>669.259628470624</c:v>
                </c:pt>
                <c:pt idx="12">
                  <c:v>643.349545681662</c:v>
                </c:pt>
                <c:pt idx="13">
                  <c:v>664.363902685793</c:v>
                </c:pt>
                <c:pt idx="14">
                  <c:v>677.706192482352</c:v>
                </c:pt>
                <c:pt idx="15">
                  <c:v>684.88418412742</c:v>
                </c:pt>
                <c:pt idx="16">
                  <c:v>687.220438087511</c:v>
                </c:pt>
                <c:pt idx="17">
                  <c:v>685.8999809574</c:v>
                </c:pt>
                <c:pt idx="18">
                  <c:v>681.754976479087</c:v>
                </c:pt>
                <c:pt idx="19">
                  <c:v>675.565416691124</c:v>
                </c:pt>
                <c:pt idx="20">
                  <c:v>667.982670232193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Dashboard!D18</c:f>
              <c:strCache>
                <c:ptCount val="1"/>
                <c:pt idx="0">
                  <c:v>Conservative $/sh</c:v>
                </c:pt>
              </c:strCache>
            </c:strRef>
          </c:tx>
          <c:spPr>
            <a:solidFill>
              <a:srgbClr val="7f7f7f"/>
            </a:solidFill>
            <a:ln w="28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Dashboard!$A$19:$A$39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Dashboard!$D$19:$D$39</c:f>
              <c:numCache>
                <c:formatCode>[$$-409]#,##0</c:formatCode>
                <c:ptCount val="21"/>
                <c:pt idx="0">
                  <c:v>375</c:v>
                </c:pt>
                <c:pt idx="1">
                  <c:v>266.772240336302</c:v>
                </c:pt>
                <c:pt idx="2">
                  <c:v>166.237842699538</c:v>
                </c:pt>
                <c:pt idx="3">
                  <c:v>74.547023656365</c:v>
                </c:pt>
                <c:pt idx="4">
                  <c:v>80.7815738631641</c:v>
                </c:pt>
                <c:pt idx="5">
                  <c:v>87.8510815417812</c:v>
                </c:pt>
                <c:pt idx="6">
                  <c:v>96.9893830519554</c:v>
                </c:pt>
                <c:pt idx="7">
                  <c:v>106.013549802025</c:v>
                </c:pt>
                <c:pt idx="8">
                  <c:v>114.011716041373</c:v>
                </c:pt>
                <c:pt idx="9">
                  <c:v>120.113597901567</c:v>
                </c:pt>
                <c:pt idx="10">
                  <c:v>123.677374691169</c:v>
                </c:pt>
                <c:pt idx="11">
                  <c:v>124.40621738927</c:v>
                </c:pt>
                <c:pt idx="12">
                  <c:v>122.346959848677</c:v>
                </c:pt>
                <c:pt idx="13">
                  <c:v>127.255383679418</c:v>
                </c:pt>
                <c:pt idx="14">
                  <c:v>130.727844802539</c:v>
                </c:pt>
                <c:pt idx="15">
                  <c:v>132.832149142019</c:v>
                </c:pt>
                <c:pt idx="16">
                  <c:v>133.775900920645</c:v>
                </c:pt>
                <c:pt idx="17">
                  <c:v>133.776750225413</c:v>
                </c:pt>
                <c:pt idx="18">
                  <c:v>133.041018484181</c:v>
                </c:pt>
                <c:pt idx="19">
                  <c:v>131.763079480318</c:v>
                </c:pt>
                <c:pt idx="20">
                  <c:v>130.142412023997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738777"/>
        <c:axId val="94665341"/>
      </c:lineChart>
      <c:catAx>
        <c:axId val="41738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94665341"/>
        <c:crosses val="autoZero"/>
        <c:auto val="1"/>
        <c:lblAlgn val="ctr"/>
        <c:lblOffset val="100"/>
        <c:noMultiLvlLbl val="0"/>
      </c:catAx>
      <c:valAx>
        <c:axId val="9466534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41738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My position (£) – active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Dashboard!I18</c:f>
              <c:strCache>
                <c:ptCount val="1"/>
                <c:pt idx="0">
                  <c:v>Active £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Dashboard!$A$19:$A$39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Dashboard!$I$19:$I$39</c:f>
              <c:numCache>
                <c:formatCode>[$£-809]#,##0</c:formatCode>
                <c:ptCount val="21"/>
                <c:pt idx="0">
                  <c:v>104452.339557034</c:v>
                </c:pt>
                <c:pt idx="1">
                  <c:v>139352.30778578</c:v>
                </c:pt>
                <c:pt idx="2">
                  <c:v>276842.736149948</c:v>
                </c:pt>
                <c:pt idx="3">
                  <c:v>558022.44101305</c:v>
                </c:pt>
                <c:pt idx="4">
                  <c:v>752293.118067807</c:v>
                </c:pt>
                <c:pt idx="5">
                  <c:v>932623.989251524</c:v>
                </c:pt>
                <c:pt idx="6">
                  <c:v>1026171.14428116</c:v>
                </c:pt>
                <c:pt idx="7">
                  <c:v>1079346.11098949</c:v>
                </c:pt>
                <c:pt idx="8">
                  <c:v>1107232.90423389</c:v>
                </c:pt>
                <c:pt idx="9">
                  <c:v>1104871.5437438</c:v>
                </c:pt>
                <c:pt idx="10">
                  <c:v>1074792.58535444</c:v>
                </c:pt>
                <c:pt idx="11">
                  <c:v>1024532.54747925</c:v>
                </c:pt>
                <c:pt idx="12">
                  <c:v>956686.726487804</c:v>
                </c:pt>
                <c:pt idx="13">
                  <c:v>964500.742703668</c:v>
                </c:pt>
                <c:pt idx="14">
                  <c:v>965340.007748586</c:v>
                </c:pt>
                <c:pt idx="15">
                  <c:v>961441.843948475</c:v>
                </c:pt>
                <c:pt idx="16">
                  <c:v>955388.490507133</c:v>
                </c:pt>
                <c:pt idx="17">
                  <c:v>947895.196070804</c:v>
                </c:pt>
                <c:pt idx="18">
                  <c:v>939605.14656731</c:v>
                </c:pt>
                <c:pt idx="19">
                  <c:v>930585.276673659</c:v>
                </c:pt>
                <c:pt idx="20">
                  <c:v>921138.580772774</c:v>
                </c:pt>
              </c:numCache>
            </c:numRef>
          </c:val>
        </c:ser>
        <c:gapWidth val="150"/>
        <c:overlap val="0"/>
        <c:axId val="19113154"/>
        <c:axId val="5621137"/>
      </c:barChart>
      <c:catAx>
        <c:axId val="19113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5621137"/>
        <c:crosses val="autoZero"/>
        <c:auto val="1"/>
        <c:lblAlgn val="ctr"/>
        <c:lblOffset val="100"/>
        <c:noMultiLvlLbl val="0"/>
      </c:catAx>
      <c:valAx>
        <c:axId val="56211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£-809]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19113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Tesla revenue mix ($bn) – active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Projection!G7</c:f>
              <c:strCache>
                <c:ptCount val="1"/>
                <c:pt idx="0">
                  <c:v>Auto revenue ($bn)</c:v>
                </c:pt>
              </c:strCache>
            </c:strRef>
          </c:tx>
          <c:spPr>
            <a:solidFill>
              <a:srgbClr val="00a2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Projection!$G$8:$G$28</c:f>
              <c:numCache>
                <c:formatCode>#,##0.0</c:formatCode>
                <c:ptCount val="21"/>
                <c:pt idx="0">
                  <c:v>75.115</c:v>
                </c:pt>
                <c:pt idx="1">
                  <c:v>83.1649473144879</c:v>
                </c:pt>
                <c:pt idx="2">
                  <c:v>95.0260827965505</c:v>
                </c:pt>
                <c:pt idx="3">
                  <c:v>111.992525605828</c:v>
                </c:pt>
                <c:pt idx="4">
                  <c:v>135.525344077604</c:v>
                </c:pt>
                <c:pt idx="5">
                  <c:v>167.008738122026</c:v>
                </c:pt>
                <c:pt idx="6">
                  <c:v>207.287445318331</c:v>
                </c:pt>
                <c:pt idx="7">
                  <c:v>256.024990998562</c:v>
                </c:pt>
                <c:pt idx="8">
                  <c:v>311.133373154081</c:v>
                </c:pt>
                <c:pt idx="9">
                  <c:v>368.720250375611</c:v>
                </c:pt>
                <c:pt idx="10">
                  <c:v>423.879199159019</c:v>
                </c:pt>
                <c:pt idx="11">
                  <c:v>472.088557060114</c:v>
                </c:pt>
                <c:pt idx="12">
                  <c:v>510.449095699038</c:v>
                </c:pt>
                <c:pt idx="13">
                  <c:v>538.106778945119</c:v>
                </c:pt>
                <c:pt idx="14">
                  <c:v>555.853731741747</c:v>
                </c:pt>
                <c:pt idx="15">
                  <c:v>565.373641154812</c:v>
                </c:pt>
                <c:pt idx="16">
                  <c:v>568.575286422836</c:v>
                </c:pt>
                <c:pt idx="17">
                  <c:v>578.043282392634</c:v>
                </c:pt>
                <c:pt idx="18">
                  <c:v>585.089444660512</c:v>
                </c:pt>
                <c:pt idx="19">
                  <c:v>589.916740844699</c:v>
                </c:pt>
                <c:pt idx="20">
                  <c:v>593.200671328067</c:v>
                </c:pt>
              </c:numCache>
            </c:numRef>
          </c:val>
        </c:ser>
        <c:ser>
          <c:idx val="1"/>
          <c:order val="1"/>
          <c:tx>
            <c:strRef>
              <c:f>Projection!I7</c:f>
              <c:strCache>
                <c:ptCount val="1"/>
                <c:pt idx="0">
                  <c:v>FSD revenue ($bn)</c:v>
                </c:pt>
              </c:strCache>
            </c:strRef>
          </c:tx>
          <c:spPr>
            <a:solidFill>
              <a:srgbClr val="16e7c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Projection!$I$8:$I$28</c:f>
              <c:numCache>
                <c:formatCode>#,##0.0</c:formatCode>
                <c:ptCount val="21"/>
                <c:pt idx="0">
                  <c:v>1.92</c:v>
                </c:pt>
                <c:pt idx="1">
                  <c:v>2.78482992695083</c:v>
                </c:pt>
                <c:pt idx="2">
                  <c:v>4.09046703051541</c:v>
                </c:pt>
                <c:pt idx="3">
                  <c:v>6.02225108002194</c:v>
                </c:pt>
                <c:pt idx="4">
                  <c:v>8.79686027093091</c:v>
                </c:pt>
                <c:pt idx="5">
                  <c:v>12.6166978102064</c:v>
                </c:pt>
                <c:pt idx="6">
                  <c:v>17.5798031853306</c:v>
                </c:pt>
                <c:pt idx="7">
                  <c:v>23.56501215453</c:v>
                </c:pt>
                <c:pt idx="8">
                  <c:v>30.1665191001306</c:v>
                </c:pt>
                <c:pt idx="9">
                  <c:v>36.7680260457312</c:v>
                </c:pt>
                <c:pt idx="10">
                  <c:v>42.7532350149306</c:v>
                </c:pt>
                <c:pt idx="11">
                  <c:v>47.7163403900549</c:v>
                </c:pt>
                <c:pt idx="12">
                  <c:v>51.5361779293303</c:v>
                </c:pt>
                <c:pt idx="13">
                  <c:v>54.3107871202393</c:v>
                </c:pt>
                <c:pt idx="14">
                  <c:v>56.2425711697458</c:v>
                </c:pt>
                <c:pt idx="15">
                  <c:v>57.5482082733104</c:v>
                </c:pt>
                <c:pt idx="16">
                  <c:v>58.4130382002613</c:v>
                </c:pt>
                <c:pt idx="17">
                  <c:v>58.978260958293</c:v>
                </c:pt>
                <c:pt idx="18">
                  <c:v>59.3444425137645</c:v>
                </c:pt>
                <c:pt idx="19">
                  <c:v>59.5803272239078</c:v>
                </c:pt>
                <c:pt idx="20">
                  <c:v>59.7317210410649</c:v>
                </c:pt>
              </c:numCache>
            </c:numRef>
          </c:val>
        </c:ser>
        <c:ser>
          <c:idx val="2"/>
          <c:order val="2"/>
          <c:tx>
            <c:strRef>
              <c:f>Projection!M7</c:f>
              <c:strCache>
                <c:ptCount val="1"/>
                <c:pt idx="0">
                  <c:v>Robotaxi revenue ($bn)</c:v>
                </c:pt>
              </c:strCache>
            </c:strRef>
          </c:tx>
          <c:spPr>
            <a:solidFill>
              <a:srgbClr val="61d8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Projection!$M$8:$M$28</c:f>
              <c:numCache>
                <c:formatCode>#,##0.0</c:formatCode>
                <c:ptCount val="21"/>
                <c:pt idx="0">
                  <c:v>0.09</c:v>
                </c:pt>
                <c:pt idx="1">
                  <c:v>8.05890333054345</c:v>
                </c:pt>
                <c:pt idx="2">
                  <c:v>27.1337925028118</c:v>
                </c:pt>
                <c:pt idx="3">
                  <c:v>55.0329937574643</c:v>
                </c:pt>
                <c:pt idx="4">
                  <c:v>95.1402064309366</c:v>
                </c:pt>
                <c:pt idx="5">
                  <c:v>150.834098359807</c:v>
                </c:pt>
                <c:pt idx="6">
                  <c:v>223.98536853541</c:v>
                </c:pt>
                <c:pt idx="7">
                  <c:v>312.674909757358</c:v>
                </c:pt>
                <c:pt idx="8">
                  <c:v>411.419993403329</c:v>
                </c:pt>
                <c:pt idx="9">
                  <c:v>531.119191140153</c:v>
                </c:pt>
                <c:pt idx="10">
                  <c:v>644.044544483108</c:v>
                </c:pt>
                <c:pt idx="11">
                  <c:v>739.403248848903</c:v>
                </c:pt>
                <c:pt idx="12">
                  <c:v>812.585006687809</c:v>
                </c:pt>
                <c:pt idx="13">
                  <c:v>864.667708066425</c:v>
                </c:pt>
                <c:pt idx="14">
                  <c:v>899.747334413753</c:v>
                </c:pt>
                <c:pt idx="15">
                  <c:v>922.495755178524</c:v>
                </c:pt>
                <c:pt idx="16">
                  <c:v>936.883813785206</c:v>
                </c:pt>
                <c:pt idx="17">
                  <c:v>945.839939320204</c:v>
                </c:pt>
                <c:pt idx="18">
                  <c:v>951.359347287373</c:v>
                </c:pt>
                <c:pt idx="19">
                  <c:v>954.73980017351</c:v>
                </c:pt>
                <c:pt idx="20">
                  <c:v>956.8023538111</c:v>
                </c:pt>
              </c:numCache>
            </c:numRef>
          </c:val>
        </c:ser>
        <c:ser>
          <c:idx val="3"/>
          <c:order val="3"/>
          <c:tx>
            <c:strRef>
              <c:f>Projection!Q7</c:f>
              <c:strCache>
                <c:ptCount val="1"/>
                <c:pt idx="0">
                  <c:v>Optimus revenue ($bn)</c:v>
                </c:pt>
              </c:strCache>
            </c:strRef>
          </c:tx>
          <c:spPr>
            <a:solidFill>
              <a:srgbClr val="ffd9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Projection!$Q$8:$Q$28</c:f>
              <c:numCache>
                <c:formatCode>#,##0.0</c:formatCode>
                <c:ptCount val="21"/>
                <c:pt idx="0">
                  <c:v>0.25</c:v>
                </c:pt>
                <c:pt idx="1">
                  <c:v>2.61531554212054</c:v>
                </c:pt>
                <c:pt idx="2">
                  <c:v>5.98305728219295</c:v>
                </c:pt>
                <c:pt idx="3">
                  <c:v>10.8295098074088</c:v>
                </c:pt>
                <c:pt idx="4">
                  <c:v>17.7982355156698</c:v>
                </c:pt>
                <c:pt idx="5">
                  <c:v>27.6889434426152</c:v>
                </c:pt>
                <c:pt idx="6">
                  <c:v>41.3428470273337</c:v>
                </c:pt>
                <c:pt idx="7">
                  <c:v>59.3302332683481</c:v>
                </c:pt>
                <c:pt idx="8">
                  <c:v>81.3930996307248</c:v>
                </c:pt>
                <c:pt idx="9">
                  <c:v>105.8418658971</c:v>
                </c:pt>
                <c:pt idx="10">
                  <c:v>129.493134770193</c:v>
                </c:pt>
                <c:pt idx="11">
                  <c:v>148.8177241763</c:v>
                </c:pt>
                <c:pt idx="12">
                  <c:v>175.046227094311</c:v>
                </c:pt>
                <c:pt idx="13">
                  <c:v>195.941238113641</c:v>
                </c:pt>
                <c:pt idx="14">
                  <c:v>211.210535412218</c:v>
                </c:pt>
                <c:pt idx="15">
                  <c:v>221.6790029106</c:v>
                </c:pt>
                <c:pt idx="16">
                  <c:v>228.545872255238</c:v>
                </c:pt>
                <c:pt idx="17">
                  <c:v>232.920614571441</c:v>
                </c:pt>
                <c:pt idx="18">
                  <c:v>235.656034718042</c:v>
                </c:pt>
                <c:pt idx="19">
                  <c:v>237.346472800954</c:v>
                </c:pt>
                <c:pt idx="20">
                  <c:v>238.383566514919</c:v>
                </c:pt>
              </c:numCache>
            </c:numRef>
          </c:val>
        </c:ser>
        <c:ser>
          <c:idx val="4"/>
          <c:order val="4"/>
          <c:tx>
            <c:strRef>
              <c:f>Projection!T7</c:f>
              <c:strCache>
                <c:ptCount val="1"/>
                <c:pt idx="0">
                  <c:v>Energy revenue ($bn)</c:v>
                </c:pt>
              </c:strCache>
            </c:strRef>
          </c:tx>
          <c:spPr>
            <a:solidFill>
              <a:srgbClr val="ff64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Projection!$T$8:$T$28</c:f>
              <c:numCache>
                <c:formatCode>#,##0.0</c:formatCode>
                <c:ptCount val="21"/>
                <c:pt idx="0">
                  <c:v>12.74</c:v>
                </c:pt>
                <c:pt idx="1">
                  <c:v>17.995736522971</c:v>
                </c:pt>
                <c:pt idx="2">
                  <c:v>24.8159614687255</c:v>
                </c:pt>
                <c:pt idx="3">
                  <c:v>33.5310358366007</c:v>
                </c:pt>
                <c:pt idx="4">
                  <c:v>44.4290209419752</c:v>
                </c:pt>
                <c:pt idx="5">
                  <c:v>57.6650058831413</c:v>
                </c:pt>
                <c:pt idx="6">
                  <c:v>73.1418846232931</c:v>
                </c:pt>
                <c:pt idx="7">
                  <c:v>90.3959515503804</c:v>
                </c:pt>
                <c:pt idx="8">
                  <c:v>108.550128723067</c:v>
                </c:pt>
                <c:pt idx="9">
                  <c:v>126.400536022544</c:v>
                </c:pt>
                <c:pt idx="10">
                  <c:v>142.649230532107</c:v>
                </c:pt>
                <c:pt idx="11">
                  <c:v>156.203977509512</c:v>
                </c:pt>
                <c:pt idx="12">
                  <c:v>166.409829334955</c:v>
                </c:pt>
                <c:pt idx="13">
                  <c:v>173.116786589669</c:v>
                </c:pt>
                <c:pt idx="14">
                  <c:v>176.589228962201</c:v>
                </c:pt>
                <c:pt idx="15">
                  <c:v>177.337215556334</c:v>
                </c:pt>
                <c:pt idx="16">
                  <c:v>175.953816889499</c:v>
                </c:pt>
                <c:pt idx="17">
                  <c:v>173.003025011187</c:v>
                </c:pt>
                <c:pt idx="18">
                  <c:v>172.554014435583</c:v>
                </c:pt>
                <c:pt idx="19">
                  <c:v>174.688448337609</c:v>
                </c:pt>
                <c:pt idx="20">
                  <c:v>176.224329655933</c:v>
                </c:pt>
              </c:numCache>
            </c:numRef>
          </c:val>
        </c:ser>
        <c:ser>
          <c:idx val="5"/>
          <c:order val="5"/>
          <c:tx>
            <c:strRef>
              <c:f>Projection!U7</c:f>
              <c:strCache>
                <c:ptCount val="1"/>
                <c:pt idx="0">
                  <c:v>Services revenue ($bn)</c:v>
                </c:pt>
              </c:strCache>
            </c:strRef>
          </c:tx>
          <c:spPr>
            <a:solidFill>
              <a:srgbClr val="ff42a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Projection!$U$8:$U$28</c:f>
              <c:numCache>
                <c:formatCode>#,##0.0</c:formatCode>
                <c:ptCount val="21"/>
                <c:pt idx="0">
                  <c:v>17.5</c:v>
                </c:pt>
                <c:pt idx="1">
                  <c:v>20.125</c:v>
                </c:pt>
                <c:pt idx="2">
                  <c:v>22.9324375</c:v>
                </c:pt>
                <c:pt idx="3">
                  <c:v>25.9075772790625</c:v>
                </c:pt>
                <c:pt idx="4">
                  <c:v>29.0334184496807</c:v>
                </c:pt>
                <c:pt idx="5">
                  <c:v>32.2911945039489</c:v>
                </c:pt>
                <c:pt idx="6">
                  <c:v>35.6608857710292</c:v>
                </c:pt>
                <c:pt idx="7">
                  <c:v>39.121722225072</c:v>
                </c:pt>
                <c:pt idx="8">
                  <c:v>42.6526583734459</c:v>
                </c:pt>
                <c:pt idx="9">
                  <c:v>46.2328061373916</c:v>
                </c:pt>
                <c:pt idx="10">
                  <c:v>49.8418158441251</c:v>
                </c:pt>
                <c:pt idx="11">
                  <c:v>53.4601993980619</c:v>
                </c:pt>
                <c:pt idx="12">
                  <c:v>57.0695931933099</c:v>
                </c:pt>
                <c:pt idx="13">
                  <c:v>60.6529612547159</c:v>
                </c:pt>
                <c:pt idx="14">
                  <c:v>64.1947414039434</c:v>
                </c:pt>
                <c:pt idx="15">
                  <c:v>67.6809389474738</c:v>
                </c:pt>
                <c:pt idx="16">
                  <c:v>71.0991735206854</c:v>
                </c:pt>
                <c:pt idx="17">
                  <c:v>74.4386853663577</c:v>
                </c:pt>
                <c:pt idx="18">
                  <c:v>77.6903075597009</c:v>
                </c:pt>
                <c:pt idx="19">
                  <c:v>80.8464106012001</c:v>
                </c:pt>
                <c:pt idx="20">
                  <c:v>83.900825465537</c:v>
                </c:pt>
              </c:numCache>
            </c:numRef>
          </c:val>
        </c:ser>
        <c:gapWidth val="150"/>
        <c:overlap val="100"/>
        <c:axId val="1969723"/>
        <c:axId val="68499779"/>
      </c:barChart>
      <c:catAx>
        <c:axId val="19697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68499779"/>
        <c:crosses val="autoZero"/>
        <c:auto val="1"/>
        <c:lblAlgn val="ctr"/>
        <c:lblOffset val="100"/>
        <c:noMultiLvlLbl val="0"/>
      </c:catAx>
      <c:valAx>
        <c:axId val="68499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1969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Tesla vs SpaceX equity value ($bn) – active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Projection!AA7</c:f>
              <c:strCache>
                <c:ptCount val="1"/>
                <c:pt idx="0">
                  <c:v>Tesla equity value ($bn)</c:v>
                </c:pt>
              </c:strCache>
            </c:strRef>
          </c:tx>
          <c:spPr>
            <a:solidFill>
              <a:srgbClr val="009ef9"/>
            </a:solidFill>
            <a:ln w="28440">
              <a:solidFill>
                <a:srgbClr val="009ef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Projection!$AA$8:$AA$28</c:f>
              <c:numCache>
                <c:formatCode>#,##0</c:formatCode>
                <c:ptCount val="21"/>
                <c:pt idx="0">
                  <c:v>1481.08027275</c:v>
                </c:pt>
                <c:pt idx="1">
                  <c:v>1368.57591700629</c:v>
                </c:pt>
                <c:pt idx="2">
                  <c:v>1713.79869348861</c:v>
                </c:pt>
                <c:pt idx="3">
                  <c:v>2948.28472155385</c:v>
                </c:pt>
                <c:pt idx="4">
                  <c:v>4644.74453417034</c:v>
                </c:pt>
                <c:pt idx="5">
                  <c:v>7039.98086447294</c:v>
                </c:pt>
                <c:pt idx="6">
                  <c:v>8974.09114633752</c:v>
                </c:pt>
                <c:pt idx="7">
                  <c:v>10899.5348750899</c:v>
                </c:pt>
                <c:pt idx="8">
                  <c:v>12883.8562280273</c:v>
                </c:pt>
                <c:pt idx="9">
                  <c:v>14373.9591596531</c:v>
                </c:pt>
                <c:pt idx="10">
                  <c:v>15189.41922496</c:v>
                </c:pt>
                <c:pt idx="11">
                  <c:v>15427.8145920071</c:v>
                </c:pt>
                <c:pt idx="12">
                  <c:v>15080.223712509</c:v>
                </c:pt>
                <c:pt idx="13">
                  <c:v>15715.3019810304</c:v>
                </c:pt>
                <c:pt idx="14">
                  <c:v>16122.080515773</c:v>
                </c:pt>
                <c:pt idx="15">
                  <c:v>16367.4305903708</c:v>
                </c:pt>
                <c:pt idx="16">
                  <c:v>16538.7938384671</c:v>
                </c:pt>
                <c:pt idx="17">
                  <c:v>16658.2570845779</c:v>
                </c:pt>
                <c:pt idx="18">
                  <c:v>16747.4690806121</c:v>
                </c:pt>
                <c:pt idx="19">
                  <c:v>16807.1534688403</c:v>
                </c:pt>
                <c:pt idx="20">
                  <c:v>16847.8762673705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Projection!AF7</c:f>
              <c:strCache>
                <c:ptCount val="1"/>
                <c:pt idx="0">
                  <c:v>SpaceX equity value ($bn)</c:v>
                </c:pt>
              </c:strCache>
            </c:strRef>
          </c:tx>
          <c:spPr>
            <a:solidFill>
              <a:srgbClr val="10e6ce"/>
            </a:solidFill>
            <a:ln w="28440">
              <a:solidFill>
                <a:srgbClr val="10e6c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Projection!$A$8:$A$28</c:f>
              <c:strCach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strCache>
            </c:strRef>
          </c:cat>
          <c:val>
            <c:numRef>
              <c:f>Projection!$AF$8:$AF$28</c:f>
              <c:numCache>
                <c:formatCode>#,##0</c:formatCode>
                <c:ptCount val="21"/>
                <c:pt idx="0">
                  <c:v>2178.9349</c:v>
                </c:pt>
                <c:pt idx="1">
                  <c:v>3408.58153520443</c:v>
                </c:pt>
                <c:pt idx="2">
                  <c:v>7581.03430446132</c:v>
                </c:pt>
                <c:pt idx="3">
                  <c:v>15419.1172520345</c:v>
                </c:pt>
                <c:pt idx="4">
                  <c:v>20390.1012866356</c:v>
                </c:pt>
                <c:pt idx="5">
                  <c:v>24338.8209428403</c:v>
                </c:pt>
                <c:pt idx="6">
                  <c:v>25934.4474470109</c:v>
                </c:pt>
                <c:pt idx="7">
                  <c:v>26225.3255206065</c:v>
                </c:pt>
                <c:pt idx="8">
                  <c:v>25623.6523092855</c:v>
                </c:pt>
                <c:pt idx="9">
                  <c:v>24479.5859934461</c:v>
                </c:pt>
                <c:pt idx="10">
                  <c:v>23028.4100646121</c:v>
                </c:pt>
                <c:pt idx="11">
                  <c:v>21410.491021812</c:v>
                </c:pt>
                <c:pt idx="12">
                  <c:v>19704.3099157488</c:v>
                </c:pt>
                <c:pt idx="13">
                  <c:v>19747.3774146475</c:v>
                </c:pt>
                <c:pt idx="14">
                  <c:v>19771.087857908</c:v>
                </c:pt>
                <c:pt idx="15">
                  <c:v>19784.1229481821</c:v>
                </c:pt>
                <c:pt idx="16">
                  <c:v>19791.2835552643</c:v>
                </c:pt>
                <c:pt idx="17">
                  <c:v>19795.2154295536</c:v>
                </c:pt>
                <c:pt idx="18">
                  <c:v>19797.3739056882</c:v>
                </c:pt>
                <c:pt idx="19">
                  <c:v>19798.5586886404</c:v>
                </c:pt>
                <c:pt idx="20">
                  <c:v>19799.2089673835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356171"/>
        <c:axId val="86695809"/>
      </c:lineChart>
      <c:catAx>
        <c:axId val="463561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86695809"/>
        <c:crosses val="autoZero"/>
        <c:auto val="1"/>
        <c:lblAlgn val="ctr"/>
        <c:lblOffset val="100"/>
        <c:noMultiLvlLbl val="0"/>
      </c:catAx>
      <c:valAx>
        <c:axId val="86695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46356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Value by account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Holdings!K4</c:f>
              <c:strCache>
                <c:ptCount val="1"/>
                <c:pt idx="0">
                  <c:v>Value £</c:v>
                </c:pt>
              </c:strCache>
            </c:strRef>
          </c:tx>
          <c:spPr>
            <a:solidFill>
              <a:srgbClr val="00a2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Holdings!$B$5:$C$9</c:f>
              <c:multiLvlStrCache>
                <c:ptCount val="5"/>
                <c:lvl>
                  <c:pt idx="0">
                    <c:v>ISA</c:v>
                  </c:pt>
                  <c:pt idx="1">
                    <c:v>Non-ISA</c:v>
                  </c:pt>
                  <c:pt idx="2">
                    <c:v>ISA</c:v>
                  </c:pt>
                  <c:pt idx="3">
                    <c:v>ISA</c:v>
                  </c:pt>
                  <c:pt idx="4">
                    <c:v>? (Caroline sheet says 'Stocks')</c:v>
                  </c:pt>
                </c:lvl>
                <c:lvl>
                  <c:pt idx="0">
                    <c:v>Money Box</c:v>
                  </c:pt>
                  <c:pt idx="1">
                    <c:v>Trading 212</c:v>
                  </c:pt>
                  <c:pt idx="2">
                    <c:v>Trading 212</c:v>
                  </c:pt>
                  <c:pt idx="3">
                    <c:v>Money Box</c:v>
                  </c:pt>
                  <c:pt idx="4">
                    <c:v>Trading 212</c:v>
                  </c:pt>
                </c:lvl>
              </c:multiLvlStrCache>
            </c:multiLvlStrRef>
          </c:cat>
          <c:val>
            <c:numRef>
              <c:f>Holdings!$K$5:$K$9</c:f>
              <c:numCache>
                <c:formatCode>[$£-809]#,##0.00</c:formatCode>
                <c:ptCount val="5"/>
                <c:pt idx="0">
                  <c:v>78361.9321188299</c:v>
                </c:pt>
                <c:pt idx="1">
                  <c:v>0</c:v>
                </c:pt>
                <c:pt idx="2">
                  <c:v>26090.4074382039</c:v>
                </c:pt>
                <c:pt idx="3">
                  <c:v>31068.107944667</c:v>
                </c:pt>
                <c:pt idx="4">
                  <c:v>1700.80882908761</c:v>
                </c:pt>
              </c:numCache>
            </c:numRef>
          </c:val>
        </c:ser>
        <c:ser>
          <c:idx val="1"/>
          <c:order val="1"/>
          <c:tx>
            <c:strRef>
              <c:f>Holdings!L4</c:f>
              <c:strCache>
                <c:ptCount val="1"/>
                <c:pt idx="0">
                  <c:v>Cost £ (at today's FX)</c:v>
                </c:pt>
              </c:strCache>
            </c:strRef>
          </c:tx>
          <c:spPr>
            <a:solidFill>
              <a:srgbClr val="16e7c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Holdings!$B$5:$C$9</c:f>
              <c:multiLvlStrCache>
                <c:ptCount val="5"/>
                <c:lvl>
                  <c:pt idx="0">
                    <c:v>ISA</c:v>
                  </c:pt>
                  <c:pt idx="1">
                    <c:v>Non-ISA</c:v>
                  </c:pt>
                  <c:pt idx="2">
                    <c:v>ISA</c:v>
                  </c:pt>
                  <c:pt idx="3">
                    <c:v>ISA</c:v>
                  </c:pt>
                  <c:pt idx="4">
                    <c:v>? (Caroline sheet says 'Stocks')</c:v>
                  </c:pt>
                </c:lvl>
                <c:lvl>
                  <c:pt idx="0">
                    <c:v>Money Box</c:v>
                  </c:pt>
                  <c:pt idx="1">
                    <c:v>Trading 212</c:v>
                  </c:pt>
                  <c:pt idx="2">
                    <c:v>Trading 212</c:v>
                  </c:pt>
                  <c:pt idx="3">
                    <c:v>Money Box</c:v>
                  </c:pt>
                  <c:pt idx="4">
                    <c:v>Trading 212</c:v>
                  </c:pt>
                </c:lvl>
              </c:multiLvlStrCache>
            </c:multiLvlStrRef>
          </c:cat>
          <c:val>
            <c:numRef>
              <c:f>Holdings!$L$5:$L$9</c:f>
              <c:numCache>
                <c:formatCode>[$£-809]#,##0.00</c:formatCode>
                <c:ptCount val="5"/>
                <c:pt idx="0">
                  <c:v>49547.7272658553</c:v>
                </c:pt>
                <c:pt idx="1">
                  <c:v>0</c:v>
                </c:pt>
                <c:pt idx="2">
                  <c:v>19526.0609267518</c:v>
                </c:pt>
                <c:pt idx="3">
                  <c:v>28938.0784639807</c:v>
                </c:pt>
                <c:pt idx="4">
                  <c:v>2009.22216342883</c:v>
                </c:pt>
              </c:numCache>
            </c:numRef>
          </c:val>
        </c:ser>
        <c:gapWidth val="150"/>
        <c:overlap val="0"/>
        <c:axId val="980212"/>
        <c:axId val="28283372"/>
      </c:barChart>
      <c:catAx>
        <c:axId val="980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28283372"/>
        <c:crosses val="autoZero"/>
        <c:auto val="1"/>
        <c:lblAlgn val="ctr"/>
        <c:lblOffset val="100"/>
        <c:noMultiLvlLbl val="0"/>
      </c:catAx>
      <c:valAx>
        <c:axId val="28283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£-809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980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3333776109986"/>
          <c:y val="0.129060402684564"/>
          <c:w val="0.897652176800717"/>
          <c:h val="0.8112751677852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Colin!$H$2</c:f>
              <c:strCache>
                <c:ptCount val="1"/>
                <c:pt idx="0">
                  <c:v>Total initial Investment </c:v>
                </c:pt>
              </c:strCache>
            </c:strRef>
          </c:tx>
          <c:spPr>
            <a:solidFill>
              <a:srgbClr val="2e578c"/>
            </a:solidFill>
            <a:ln w="1260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Colin!$H$3:$H$6</c:f>
              <c:numCache>
                <c:formatCode>[$£-809]#,##0.00</c:formatCode>
                <c:ptCount val="4"/>
                <c:pt idx="0">
                  <c:v>49547.7272658553</c:v>
                </c:pt>
                <c:pt idx="1">
                  <c:v>0</c:v>
                </c:pt>
                <c:pt idx="2">
                  <c:v>19526.0609267518</c:v>
                </c:pt>
                <c:pt idx="3">
                  <c:v>69073.7881926072</c:v>
                </c:pt>
              </c:numCache>
            </c:numRef>
          </c:val>
        </c:ser>
        <c:ser>
          <c:idx val="1"/>
          <c:order val="1"/>
          <c:tx>
            <c:strRef>
              <c:f>Colin!$I$2</c:f>
              <c:strCache>
                <c:ptCount val="1"/>
                <c:pt idx="0">
                  <c:v>Total stock Price </c:v>
                </c:pt>
              </c:strCache>
            </c:strRef>
          </c:tx>
          <c:spPr>
            <a:solidFill>
              <a:srgbClr val="5d9648"/>
            </a:solidFill>
            <a:ln w="1260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Colin!$I$3:$I$6</c:f>
              <c:numCache>
                <c:formatCode>[$£-809]#,##0.00</c:formatCode>
                <c:ptCount val="4"/>
                <c:pt idx="0">
                  <c:v>78361.9321188299</c:v>
                </c:pt>
                <c:pt idx="1">
                  <c:v>0</c:v>
                </c:pt>
                <c:pt idx="2">
                  <c:v>26090.407438204</c:v>
                </c:pt>
                <c:pt idx="3">
                  <c:v>104452.339557034</c:v>
                </c:pt>
              </c:numCache>
            </c:numRef>
          </c:val>
        </c:ser>
        <c:ser>
          <c:idx val="2"/>
          <c:order val="2"/>
          <c:tx>
            <c:strRef>
              <c:f>Colin!$J$2</c:f>
              <c:strCache>
                <c:ptCount val="1"/>
                <c:pt idx="0">
                  <c:v>Total Profit </c:v>
                </c:pt>
              </c:strCache>
            </c:strRef>
          </c:tx>
          <c:spPr>
            <a:solidFill>
              <a:srgbClr val="e7a13d"/>
            </a:solidFill>
            <a:ln w="1260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Colin!$J$3:$J$6</c:f>
              <c:numCache>
                <c:formatCode>[$£-809]#,##0.00</c:formatCode>
                <c:ptCount val="4"/>
                <c:pt idx="0">
                  <c:v>28814.2048529745</c:v>
                </c:pt>
                <c:pt idx="1">
                  <c:v>0</c:v>
                </c:pt>
                <c:pt idx="2">
                  <c:v>6564.34651145212</c:v>
                </c:pt>
                <c:pt idx="3">
                  <c:v>35378.5513644266</c:v>
                </c:pt>
              </c:numCache>
            </c:numRef>
          </c:val>
        </c:ser>
        <c:gapWidth val="40"/>
        <c:overlap val="-20"/>
        <c:axId val="12028921"/>
        <c:axId val="2225108"/>
      </c:barChart>
      <c:catAx>
        <c:axId val="120289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2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2225108"/>
        <c:crosses val="autoZero"/>
        <c:auto val="1"/>
        <c:lblAlgn val="ctr"/>
        <c:lblOffset val="100"/>
        <c:noMultiLvlLbl val="0"/>
      </c:catAx>
      <c:valAx>
        <c:axId val="2225108"/>
        <c:scaling>
          <c:orientation val="minMax"/>
        </c:scaling>
        <c:delete val="0"/>
        <c:axPos val="l"/>
        <c:majorGridlines>
          <c:spPr>
            <a:ln w="6480">
              <a:solidFill>
                <a:srgbClr val="b8b8b8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rPr>
                  <a:t>Value Axis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12028921"/>
        <c:crosses val="autoZero"/>
        <c:crossBetween val="between"/>
        <c:majorUnit val="30000"/>
        <c:minorUnit val="15000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2.51712E-008"/>
          <c:y val="0"/>
          <c:w val="0.194887"/>
          <c:h val="0.12007"/>
        </c:manualLayout>
      </c:layout>
      <c:overlay val="1"/>
      <c:spPr>
        <a:noFill/>
        <a:ln w="12600">
          <a:noFill/>
        </a:ln>
      </c:spPr>
      <c:txPr>
        <a:bodyPr/>
        <a:lstStyle/>
        <a:p>
          <a:pPr>
            <a:defRPr b="0" sz="12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Colin – cost vs value vs profit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Colin!H2</c:f>
              <c:strCache>
                <c:ptCount val="1"/>
                <c:pt idx="0">
                  <c:v>Total initial Investment </c:v>
                </c:pt>
              </c:strCache>
            </c:strRef>
          </c:tx>
          <c:spPr>
            <a:solidFill>
              <a:srgbClr val="00a2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Colin!$A$3:$B$5</c:f>
              <c:multiLvlStrCache>
                <c:ptCount val="3"/>
                <c:lvl>
                  <c:pt idx="0">
                    <c:v>ISA Shares</c:v>
                  </c:pt>
                  <c:pt idx="1">
                    <c:v>Non ISA shares</c:v>
                  </c:pt>
                  <c:pt idx="2">
                    <c:v>ISA Shares</c:v>
                  </c:pt>
                </c:lvl>
                <c:lvl>
                  <c:pt idx="0">
                    <c:v>Money Box</c:v>
                  </c:pt>
                  <c:pt idx="1">
                    <c:v>Trading 212</c:v>
                  </c:pt>
                  <c:pt idx="2">
                    <c:v>Trading 212</c:v>
                  </c:pt>
                </c:lvl>
              </c:multiLvlStrCache>
            </c:multiLvlStrRef>
          </c:cat>
          <c:val>
            <c:numRef>
              <c:f>Colin!$H$3:$H$5</c:f>
              <c:numCache>
                <c:formatCode>[$£-809]#,##0.00</c:formatCode>
                <c:ptCount val="3"/>
                <c:pt idx="0">
                  <c:v>49547.7272658553</c:v>
                </c:pt>
                <c:pt idx="1">
                  <c:v>0</c:v>
                </c:pt>
                <c:pt idx="2">
                  <c:v>19526.0609267518</c:v>
                </c:pt>
              </c:numCache>
            </c:numRef>
          </c:val>
        </c:ser>
        <c:ser>
          <c:idx val="1"/>
          <c:order val="1"/>
          <c:tx>
            <c:strRef>
              <c:f>Colin!I2</c:f>
              <c:strCache>
                <c:ptCount val="1"/>
                <c:pt idx="0">
                  <c:v>Total stock Price </c:v>
                </c:pt>
              </c:strCache>
            </c:strRef>
          </c:tx>
          <c:spPr>
            <a:solidFill>
              <a:srgbClr val="16e7c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Colin!$A$3:$B$5</c:f>
              <c:multiLvlStrCache>
                <c:ptCount val="3"/>
                <c:lvl>
                  <c:pt idx="0">
                    <c:v>ISA Shares</c:v>
                  </c:pt>
                  <c:pt idx="1">
                    <c:v>Non ISA shares</c:v>
                  </c:pt>
                  <c:pt idx="2">
                    <c:v>ISA Shares</c:v>
                  </c:pt>
                </c:lvl>
                <c:lvl>
                  <c:pt idx="0">
                    <c:v>Money Box</c:v>
                  </c:pt>
                  <c:pt idx="1">
                    <c:v>Trading 212</c:v>
                  </c:pt>
                  <c:pt idx="2">
                    <c:v>Trading 212</c:v>
                  </c:pt>
                </c:lvl>
              </c:multiLvlStrCache>
            </c:multiLvlStrRef>
          </c:cat>
          <c:val>
            <c:numRef>
              <c:f>Colin!$I$3:$I$5</c:f>
              <c:numCache>
                <c:formatCode>[$£-809]#,##0.00</c:formatCode>
                <c:ptCount val="3"/>
                <c:pt idx="0">
                  <c:v>78361.9321188299</c:v>
                </c:pt>
                <c:pt idx="1">
                  <c:v>0</c:v>
                </c:pt>
                <c:pt idx="2">
                  <c:v>26090.407438204</c:v>
                </c:pt>
              </c:numCache>
            </c:numRef>
          </c:val>
        </c:ser>
        <c:ser>
          <c:idx val="2"/>
          <c:order val="2"/>
          <c:tx>
            <c:strRef>
              <c:f>Colin!J2</c:f>
              <c:strCache>
                <c:ptCount val="1"/>
                <c:pt idx="0">
                  <c:v>Total Profit </c:v>
                </c:pt>
              </c:strCache>
            </c:strRef>
          </c:tx>
          <c:spPr>
            <a:solidFill>
              <a:srgbClr val="61d8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Colin!$A$3:$B$5</c:f>
              <c:multiLvlStrCache>
                <c:ptCount val="3"/>
                <c:lvl>
                  <c:pt idx="0">
                    <c:v>ISA Shares</c:v>
                  </c:pt>
                  <c:pt idx="1">
                    <c:v>Non ISA shares</c:v>
                  </c:pt>
                  <c:pt idx="2">
                    <c:v>ISA Shares</c:v>
                  </c:pt>
                </c:lvl>
                <c:lvl>
                  <c:pt idx="0">
                    <c:v>Money Box</c:v>
                  </c:pt>
                  <c:pt idx="1">
                    <c:v>Trading 212</c:v>
                  </c:pt>
                  <c:pt idx="2">
                    <c:v>Trading 212</c:v>
                  </c:pt>
                </c:lvl>
              </c:multiLvlStrCache>
            </c:multiLvlStrRef>
          </c:cat>
          <c:val>
            <c:numRef>
              <c:f>Colin!$J$3:$J$5</c:f>
              <c:numCache>
                <c:formatCode>[$£-809]#,##0.00</c:formatCode>
                <c:ptCount val="3"/>
                <c:pt idx="0">
                  <c:v>28814.2048529745</c:v>
                </c:pt>
                <c:pt idx="1">
                  <c:v>0</c:v>
                </c:pt>
                <c:pt idx="2">
                  <c:v>6564.34651145212</c:v>
                </c:pt>
              </c:numCache>
            </c:numRef>
          </c:val>
        </c:ser>
        <c:gapWidth val="150"/>
        <c:overlap val="0"/>
        <c:axId val="80401743"/>
        <c:axId val="86624519"/>
      </c:barChart>
      <c:catAx>
        <c:axId val="8040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86624519"/>
        <c:crosses val="autoZero"/>
        <c:auto val="1"/>
        <c:lblAlgn val="ctr"/>
        <c:lblOffset val="100"/>
        <c:noMultiLvlLbl val="0"/>
      </c:catAx>
      <c:valAx>
        <c:axId val="86624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£-809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80401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73318175738933"/>
          <c:y val="0.129073353895668"/>
          <c:w val="0.897652801925906"/>
          <c:h val="0.8113182244870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'Colin &amp; CAroline'!$I$2</c:f>
              <c:strCache>
                <c:ptCount val="1"/>
                <c:pt idx="0">
                  <c:v>Total initial Investment </c:v>
                </c:pt>
              </c:strCache>
            </c:strRef>
          </c:tx>
          <c:spPr>
            <a:solidFill>
              <a:srgbClr val="2e578c"/>
            </a:solidFill>
            <a:ln w="12600">
              <a:noFill/>
            </a:ln>
          </c:spPr>
          <c:invertIfNegative val="0"/>
          <c:dLbls>
            <c:numFmt formatCode="[$£-809]#,##0.0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'Colin &amp; CAroline'!$I$3:$I$6</c:f>
              <c:numCache>
                <c:formatCode>[$£-809]#,##0.00</c:formatCode>
                <c:ptCount val="4"/>
                <c:pt idx="0">
                  <c:v>49390.000453549</c:v>
                </c:pt>
                <c:pt idx="1">
                  <c:v>13986.3557336155</c:v>
                </c:pt>
                <c:pt idx="2">
                  <c:v>7026.32700884421</c:v>
                </c:pt>
                <c:pt idx="3">
                  <c:v>70402.6831960088</c:v>
                </c:pt>
              </c:numCache>
            </c:numRef>
          </c:val>
        </c:ser>
        <c:ser>
          <c:idx val="1"/>
          <c:order val="1"/>
          <c:tx>
            <c:strRef>
              <c:f>'Colin &amp; CAroline'!$J$2</c:f>
              <c:strCache>
                <c:ptCount val="1"/>
                <c:pt idx="0">
                  <c:v>Total stock Price </c:v>
                </c:pt>
              </c:strCache>
            </c:strRef>
          </c:tx>
          <c:spPr>
            <a:solidFill>
              <a:srgbClr val="5d9648"/>
            </a:solidFill>
            <a:ln w="12600">
              <a:noFill/>
            </a:ln>
          </c:spPr>
          <c:invertIfNegative val="0"/>
          <c:dLbls>
            <c:numFmt formatCode="[$£-809]#,##0.0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'Colin &amp; CAroline'!$J$3:$J$6</c:f>
              <c:numCache>
                <c:formatCode>[$£-809]#,##0.00</c:formatCode>
                <c:ptCount val="4"/>
                <c:pt idx="0">
                  <c:v>78112.4801572303</c:v>
                </c:pt>
                <c:pt idx="1">
                  <c:v>15590.7475999698</c:v>
                </c:pt>
                <c:pt idx="2">
                  <c:v>9388.46473656361</c:v>
                </c:pt>
                <c:pt idx="3">
                  <c:v>103091.692493764</c:v>
                </c:pt>
              </c:numCache>
            </c:numRef>
          </c:val>
        </c:ser>
        <c:ser>
          <c:idx val="2"/>
          <c:order val="2"/>
          <c:tx>
            <c:strRef>
              <c:f>'Colin &amp; CAroline'!$K$2</c:f>
              <c:strCache>
                <c:ptCount val="1"/>
                <c:pt idx="0">
                  <c:v>Total Profit </c:v>
                </c:pt>
              </c:strCache>
            </c:strRef>
          </c:tx>
          <c:spPr>
            <a:solidFill>
              <a:srgbClr val="e7a13d"/>
            </a:solidFill>
            <a:ln w="12600">
              <a:noFill/>
            </a:ln>
          </c:spPr>
          <c:invertIfNegative val="0"/>
          <c:dLbls>
            <c:numFmt formatCode="[$£-809]#,##0.00" sourceLinked="1"/>
            <c:txPr>
              <a:bodyPr wrap="square"/>
              <a:lstStyle/>
              <a:p>
                <a:pPr>
                  <a:defRPr b="0" sz="108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'Colin &amp; CAroline'!$K$3:$K$6</c:f>
              <c:numCache>
                <c:formatCode>[$£-809]#,##0.00</c:formatCode>
                <c:ptCount val="4"/>
                <c:pt idx="0">
                  <c:v>28722.4797036813</c:v>
                </c:pt>
                <c:pt idx="1">
                  <c:v>1604.39186635422</c:v>
                </c:pt>
                <c:pt idx="2">
                  <c:v>2362.13772771941</c:v>
                </c:pt>
                <c:pt idx="3">
                  <c:v>32689.0092977549</c:v>
                </c:pt>
              </c:numCache>
            </c:numRef>
          </c:val>
        </c:ser>
        <c:gapWidth val="40"/>
        <c:overlap val="-20"/>
        <c:axId val="40321312"/>
        <c:axId val="16696377"/>
      </c:barChart>
      <c:catAx>
        <c:axId val="40321312"/>
        <c:scaling>
          <c:orientation val="minMax"/>
        </c:scaling>
        <c:delete val="0"/>
        <c:axPos val="b"/>
        <c:numFmt formatCode="[$£-809]#,##0.00" sourceLinked="0"/>
        <c:majorTickMark val="none"/>
        <c:minorTickMark val="none"/>
        <c:tickLblPos val="low"/>
        <c:spPr>
          <a:ln w="126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1" sz="12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16696377"/>
        <c:crosses val="autoZero"/>
        <c:auto val="1"/>
        <c:lblAlgn val="ctr"/>
        <c:lblOffset val="100"/>
        <c:noMultiLvlLbl val="0"/>
      </c:catAx>
      <c:valAx>
        <c:axId val="16696377"/>
        <c:scaling>
          <c:orientation val="minMax"/>
        </c:scaling>
        <c:delete val="0"/>
        <c:axPos val="l"/>
        <c:majorGridlines>
          <c:spPr>
            <a:ln w="6480">
              <a:solidFill>
                <a:srgbClr val="b8b8b8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solidFill>
                      <a:srgbClr val="000000"/>
                    </a:solidFill>
                    <a:uFillTx/>
                    <a:latin typeface="Helvetica Neue"/>
                    <a:ea typeface="Helvetica Neue"/>
                  </a:rPr>
                  <a:t>Value Axis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£-809]#,##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40321312"/>
        <c:crosses val="autoZero"/>
        <c:crossBetween val="between"/>
        <c:majorUnit val="27500"/>
        <c:minorUnit val="13750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2.51712E-008"/>
          <c:y val="0"/>
          <c:w val="0.194887"/>
          <c:h val="0.12007"/>
        </c:manualLayout>
      </c:layout>
      <c:overlay val="1"/>
      <c:spPr>
        <a:noFill/>
        <a:ln w="12600">
          <a:noFill/>
        </a:ln>
      </c:spPr>
      <c:txPr>
        <a:bodyPr/>
        <a:lstStyle/>
        <a:p>
          <a:pPr>
            <a:defRPr b="0" sz="12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Colin (CD) – £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'Colin &amp; CAroline'!I2</c:f>
              <c:strCache>
                <c:ptCount val="1"/>
                <c:pt idx="0">
                  <c:v>Total initial Investment </c:v>
                </c:pt>
              </c:strCache>
            </c:strRef>
          </c:tx>
          <c:spPr>
            <a:solidFill>
              <a:srgbClr val="00a2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CAroline'!$B$3:$B$5</c:f>
              <c:strCache>
                <c:ptCount val="3"/>
                <c:pt idx="0">
                  <c:v>CD - Money Box</c:v>
                </c:pt>
                <c:pt idx="1">
                  <c:v>CD -Trading 212</c:v>
                </c:pt>
                <c:pt idx="2">
                  <c:v>CD - Trading 212</c:v>
                </c:pt>
              </c:strCache>
            </c:strRef>
          </c:cat>
          <c:val>
            <c:numRef>
              <c:f>'Colin &amp; CAroline'!$I$3:$I$5</c:f>
              <c:numCache>
                <c:formatCode>[$£-809]#,##0.00</c:formatCode>
                <c:ptCount val="3"/>
                <c:pt idx="0">
                  <c:v>49390.000453549</c:v>
                </c:pt>
                <c:pt idx="1">
                  <c:v>13986.3557336155</c:v>
                </c:pt>
                <c:pt idx="2">
                  <c:v>7026.32700884421</c:v>
                </c:pt>
              </c:numCache>
            </c:numRef>
          </c:val>
        </c:ser>
        <c:ser>
          <c:idx val="1"/>
          <c:order val="1"/>
          <c:tx>
            <c:strRef>
              <c:f>'Colin &amp; CAroline'!J2</c:f>
              <c:strCache>
                <c:ptCount val="1"/>
                <c:pt idx="0">
                  <c:v>Total stock Price </c:v>
                </c:pt>
              </c:strCache>
            </c:strRef>
          </c:tx>
          <c:spPr>
            <a:solidFill>
              <a:srgbClr val="16e7c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CAroline'!$B$3:$B$5</c:f>
              <c:strCache>
                <c:ptCount val="3"/>
                <c:pt idx="0">
                  <c:v>CD - Money Box</c:v>
                </c:pt>
                <c:pt idx="1">
                  <c:v>CD -Trading 212</c:v>
                </c:pt>
                <c:pt idx="2">
                  <c:v>CD - Trading 212</c:v>
                </c:pt>
              </c:strCache>
            </c:strRef>
          </c:cat>
          <c:val>
            <c:numRef>
              <c:f>'Colin &amp; CAroline'!$J$3:$J$5</c:f>
              <c:numCache>
                <c:formatCode>[$£-809]#,##0.00</c:formatCode>
                <c:ptCount val="3"/>
                <c:pt idx="0">
                  <c:v>78112.4801572303</c:v>
                </c:pt>
                <c:pt idx="1">
                  <c:v>15590.7475999698</c:v>
                </c:pt>
                <c:pt idx="2">
                  <c:v>9388.46473656361</c:v>
                </c:pt>
              </c:numCache>
            </c:numRef>
          </c:val>
        </c:ser>
        <c:ser>
          <c:idx val="2"/>
          <c:order val="2"/>
          <c:tx>
            <c:strRef>
              <c:f>'Colin &amp; CAroline'!K2</c:f>
              <c:strCache>
                <c:ptCount val="1"/>
                <c:pt idx="0">
                  <c:v>Total Profit </c:v>
                </c:pt>
              </c:strCache>
            </c:strRef>
          </c:tx>
          <c:spPr>
            <a:solidFill>
              <a:srgbClr val="61d8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CAroline'!$B$3:$B$5</c:f>
              <c:strCache>
                <c:ptCount val="3"/>
                <c:pt idx="0">
                  <c:v>CD - Money Box</c:v>
                </c:pt>
                <c:pt idx="1">
                  <c:v>CD -Trading 212</c:v>
                </c:pt>
                <c:pt idx="2">
                  <c:v>CD - Trading 212</c:v>
                </c:pt>
              </c:strCache>
            </c:strRef>
          </c:cat>
          <c:val>
            <c:numRef>
              <c:f>'Colin &amp; CAroline'!$K$3:$K$5</c:f>
              <c:numCache>
                <c:formatCode>[$£-809]#,##0.00</c:formatCode>
                <c:ptCount val="3"/>
                <c:pt idx="0">
                  <c:v>28722.4797036813</c:v>
                </c:pt>
                <c:pt idx="1">
                  <c:v>1604.39186635422</c:v>
                </c:pt>
                <c:pt idx="2">
                  <c:v>2362.13772771941</c:v>
                </c:pt>
              </c:numCache>
            </c:numRef>
          </c:val>
        </c:ser>
        <c:gapWidth val="150"/>
        <c:overlap val="0"/>
        <c:axId val="76455601"/>
        <c:axId val="44276170"/>
      </c:barChart>
      <c:catAx>
        <c:axId val="76455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44276170"/>
        <c:crosses val="autoZero"/>
        <c:auto val="1"/>
        <c:lblAlgn val="ctr"/>
        <c:lblOffset val="100"/>
        <c:noMultiLvlLbl val="0"/>
      </c:catAx>
      <c:valAx>
        <c:axId val="44276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£-809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76455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rPr>
              <a:t>Caroline (CT) – £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initial investment"</c:f>
              <c:strCache>
                <c:ptCount val="1"/>
                <c:pt idx="0">
                  <c:v>Total initial investment</c:v>
                </c:pt>
              </c:strCache>
            </c:strRef>
          </c:tx>
          <c:spPr>
            <a:solidFill>
              <a:srgbClr val="00a2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CAroline'!$B$7:$B$8</c:f>
              <c:strCache>
                <c:ptCount val="2"/>
                <c:pt idx="0">
                  <c:v>CT - Money Box</c:v>
                </c:pt>
                <c:pt idx="1">
                  <c:v>CT - Trading 212</c:v>
                </c:pt>
              </c:strCache>
            </c:strRef>
          </c:cat>
          <c:val>
            <c:numRef>
              <c:f>'Colin &amp; CAroline'!$I$7:$I$8</c:f>
              <c:numCache>
                <c:formatCode>[$£-809]#,##0.00</c:formatCode>
                <c:ptCount val="2"/>
                <c:pt idx="0">
                  <c:v>28938.0784639806</c:v>
                </c:pt>
                <c:pt idx="1">
                  <c:v>2009.22216342883</c:v>
                </c:pt>
              </c:numCache>
            </c:numRef>
          </c:val>
        </c:ser>
        <c:ser>
          <c:idx val="1"/>
          <c:order val="1"/>
          <c:tx>
            <c:strRef>
              <c:f>"Total stock price"</c:f>
              <c:strCache>
                <c:ptCount val="1"/>
                <c:pt idx="0">
                  <c:v>Total stock price</c:v>
                </c:pt>
              </c:strCache>
            </c:strRef>
          </c:tx>
          <c:spPr>
            <a:solidFill>
              <a:srgbClr val="16e7c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CAroline'!$B$7:$B$8</c:f>
              <c:strCache>
                <c:ptCount val="2"/>
                <c:pt idx="0">
                  <c:v>CT - Money Box</c:v>
                </c:pt>
                <c:pt idx="1">
                  <c:v>CT - Trading 212</c:v>
                </c:pt>
              </c:strCache>
            </c:strRef>
          </c:cat>
          <c:val>
            <c:numRef>
              <c:f>'Colin &amp; CAroline'!$J$7:$J$8</c:f>
              <c:numCache>
                <c:formatCode>[$£-809]#,##0.00</c:formatCode>
                <c:ptCount val="2"/>
                <c:pt idx="0">
                  <c:v>31068.107944667</c:v>
                </c:pt>
                <c:pt idx="1">
                  <c:v>1700.80882908761</c:v>
                </c:pt>
              </c:numCache>
            </c:numRef>
          </c:val>
        </c:ser>
        <c:ser>
          <c:idx val="2"/>
          <c:order val="2"/>
          <c:tx>
            <c:strRef>
              <c:f>"Total profit"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61d8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'Colin &amp; CAroline'!$B$7:$B$8</c:f>
              <c:strCache>
                <c:ptCount val="2"/>
                <c:pt idx="0">
                  <c:v>CT - Money Box</c:v>
                </c:pt>
                <c:pt idx="1">
                  <c:v>CT - Trading 212</c:v>
                </c:pt>
              </c:strCache>
            </c:strRef>
          </c:cat>
          <c:val>
            <c:numRef>
              <c:f>'Colin &amp; CAroline'!$K$7:$K$8</c:f>
              <c:numCache>
                <c:formatCode>[$£-809]#,##0.00</c:formatCode>
                <c:ptCount val="2"/>
                <c:pt idx="0">
                  <c:v>2130.02948068637</c:v>
                </c:pt>
                <c:pt idx="1">
                  <c:v>-308.41333434122</c:v>
                </c:pt>
              </c:numCache>
            </c:numRef>
          </c:val>
        </c:ser>
        <c:gapWidth val="150"/>
        <c:overlap val="0"/>
        <c:axId val="46125072"/>
        <c:axId val="58449760"/>
      </c:barChart>
      <c:catAx>
        <c:axId val="461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58449760"/>
        <c:crosses val="autoZero"/>
        <c:auto val="1"/>
        <c:lblAlgn val="ctr"/>
        <c:lblOffset val="100"/>
        <c:noMultiLvlLbl val="0"/>
      </c:catAx>
      <c:valAx>
        <c:axId val="58449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£-809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Helvetica Neue"/>
                <a:ea typeface="Helvetica Neue"/>
              </a:defRPr>
            </a:pPr>
          </a:p>
        </c:txPr>
        <c:crossAx val="46125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Helvetica Neue"/>
              <a:ea typeface="Helvetica Neue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0</xdr:row>
      <xdr:rowOff>190440</xdr:rowOff>
    </xdr:from>
    <xdr:to>
      <xdr:col>24</xdr:col>
      <xdr:colOff>153000</xdr:colOff>
      <xdr:row>16</xdr:row>
      <xdr:rowOff>18360</xdr:rowOff>
    </xdr:to>
    <xdr:graphicFrame>
      <xdr:nvGraphicFramePr>
        <xdr:cNvPr id="0" name="Chart 1"/>
        <xdr:cNvGraphicFramePr/>
      </xdr:nvGraphicFramePr>
      <xdr:xfrm>
        <a:off x="180687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17</xdr:row>
      <xdr:rowOff>192960</xdr:rowOff>
    </xdr:from>
    <xdr:to>
      <xdr:col>24</xdr:col>
      <xdr:colOff>153000</xdr:colOff>
      <xdr:row>33</xdr:row>
      <xdr:rowOff>185760</xdr:rowOff>
    </xdr:to>
    <xdr:graphicFrame>
      <xdr:nvGraphicFramePr>
        <xdr:cNvPr id="1" name="Chart 2"/>
        <xdr:cNvGraphicFramePr/>
      </xdr:nvGraphicFramePr>
      <xdr:xfrm>
        <a:off x="18068760" y="3809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35</xdr:row>
      <xdr:rowOff>185040</xdr:rowOff>
    </xdr:from>
    <xdr:to>
      <xdr:col>24</xdr:col>
      <xdr:colOff>153000</xdr:colOff>
      <xdr:row>52</xdr:row>
      <xdr:rowOff>186120</xdr:rowOff>
    </xdr:to>
    <xdr:graphicFrame>
      <xdr:nvGraphicFramePr>
        <xdr:cNvPr id="2" name="Chart 3"/>
        <xdr:cNvGraphicFramePr/>
      </xdr:nvGraphicFramePr>
      <xdr:xfrm>
        <a:off x="18068760" y="7429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54</xdr:row>
      <xdr:rowOff>185040</xdr:rowOff>
    </xdr:from>
    <xdr:to>
      <xdr:col>24</xdr:col>
      <xdr:colOff>153000</xdr:colOff>
      <xdr:row>71</xdr:row>
      <xdr:rowOff>186120</xdr:rowOff>
    </xdr:to>
    <xdr:graphicFrame>
      <xdr:nvGraphicFramePr>
        <xdr:cNvPr id="3" name="Chart 4"/>
        <xdr:cNvGraphicFramePr/>
      </xdr:nvGraphicFramePr>
      <xdr:xfrm>
        <a:off x="18068760" y="11049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23</xdr:row>
      <xdr:rowOff>151560</xdr:rowOff>
    </xdr:from>
    <xdr:to>
      <xdr:col>9</xdr:col>
      <xdr:colOff>663840</xdr:colOff>
      <xdr:row>38</xdr:row>
      <xdr:rowOff>173880</xdr:rowOff>
    </xdr:to>
    <xdr:graphicFrame>
      <xdr:nvGraphicFramePr>
        <xdr:cNvPr id="4" name="Chart 1"/>
        <xdr:cNvGraphicFramePr/>
      </xdr:nvGraphicFramePr>
      <xdr:xfrm>
        <a:off x="4341600" y="4762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147240</xdr:rowOff>
    </xdr:from>
    <xdr:to>
      <xdr:col>12</xdr:col>
      <xdr:colOff>194400</xdr:colOff>
      <xdr:row>34</xdr:row>
      <xdr:rowOff>62640</xdr:rowOff>
    </xdr:to>
    <xdr:graphicFrame>
      <xdr:nvGraphicFramePr>
        <xdr:cNvPr id="5" name="Chart 1"/>
        <xdr:cNvGraphicFramePr/>
      </xdr:nvGraphicFramePr>
      <xdr:xfrm>
        <a:off x="0" y="3995280"/>
        <a:ext cx="10840320" cy="53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9</xdr:row>
      <xdr:rowOff>0</xdr:rowOff>
    </xdr:from>
    <xdr:to>
      <xdr:col>7</xdr:col>
      <xdr:colOff>122760</xdr:colOff>
      <xdr:row>20</xdr:row>
      <xdr:rowOff>155160</xdr:rowOff>
    </xdr:to>
    <xdr:graphicFrame>
      <xdr:nvGraphicFramePr>
        <xdr:cNvPr id="6" name="Chart 2"/>
        <xdr:cNvGraphicFramePr/>
      </xdr:nvGraphicFramePr>
      <xdr:xfrm>
        <a:off x="0" y="310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83880</xdr:rowOff>
    </xdr:from>
    <xdr:to>
      <xdr:col>12</xdr:col>
      <xdr:colOff>1134360</xdr:colOff>
      <xdr:row>33</xdr:row>
      <xdr:rowOff>4320</xdr:rowOff>
    </xdr:to>
    <xdr:graphicFrame>
      <xdr:nvGraphicFramePr>
        <xdr:cNvPr id="7" name="Chart 1"/>
        <xdr:cNvGraphicFramePr/>
      </xdr:nvGraphicFramePr>
      <xdr:xfrm>
        <a:off x="0" y="3989160"/>
        <a:ext cx="10766520" cy="5368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13</xdr:row>
      <xdr:rowOff>0</xdr:rowOff>
    </xdr:from>
    <xdr:to>
      <xdr:col>7</xdr:col>
      <xdr:colOff>115200</xdr:colOff>
      <xdr:row>23</xdr:row>
      <xdr:rowOff>43200</xdr:rowOff>
    </xdr:to>
    <xdr:graphicFrame>
      <xdr:nvGraphicFramePr>
        <xdr:cNvPr id="8" name="Chart 2"/>
        <xdr:cNvGraphicFramePr/>
      </xdr:nvGraphicFramePr>
      <xdr:xfrm>
        <a:off x="144720" y="44006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476640</xdr:colOff>
      <xdr:row>23</xdr:row>
      <xdr:rowOff>43200</xdr:rowOff>
    </xdr:to>
    <xdr:graphicFrame>
      <xdr:nvGraphicFramePr>
        <xdr:cNvPr id="9" name="Chart 3"/>
        <xdr:cNvGraphicFramePr/>
      </xdr:nvGraphicFramePr>
      <xdr:xfrm>
        <a:off x="5069160" y="44006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lin-3d-models.netlify.app/tesla-model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stockanalysis.com/stocks/tsla/history/" TargetMode="External"/><Relationship Id="rId2" Type="http://schemas.openxmlformats.org/officeDocument/2006/relationships/hyperlink" Target="https://www.cnbc.com/quotes/SPCX" TargetMode="External"/><Relationship Id="rId3" Type="http://schemas.openxmlformats.org/officeDocument/2006/relationships/hyperlink" Target="https://www.exchangerates.org.uk/GBP-USD-exchange-rate-history.html" TargetMode="External"/><Relationship Id="rId4" Type="http://schemas.openxmlformats.org/officeDocument/2006/relationships/hyperlink" Target="https://www.sec.gov/Archives/edgar/data/1318605/000162828026049270/tsla-20260630.htm" TargetMode="External"/><Relationship Id="rId5" Type="http://schemas.openxmlformats.org/officeDocument/2006/relationships/hyperlink" Target="https://www.sec.gov/Archives/edgar/data/1318605/000162828026064366/exhibit991111111.htm" TargetMode="External"/><Relationship Id="rId6" Type="http://schemas.openxmlformats.org/officeDocument/2006/relationships/hyperlink" Target="https://fortune.com/company-assets/1900/quartr/slides-31912339a9c7d4acc7a371cc8cfa6e43-2026-07-22-20-08-25.pdf" TargetMode="External"/><Relationship Id="rId7" Type="http://schemas.openxmlformats.org/officeDocument/2006/relationships/hyperlink" Target="https://assets-ir.tesla.com/tesla-contents/IR/TSLA-Q4-2025-Update.pdf" TargetMode="External"/><Relationship Id="rId8" Type="http://schemas.openxmlformats.org/officeDocument/2006/relationships/hyperlink" Target="https://www.sec.gov/Archives/edgar/data/1318605/000110465925108507/tm2530590d1_ex10-2.htm" TargetMode="External"/><Relationship Id="rId9" Type="http://schemas.openxmlformats.org/officeDocument/2006/relationships/hyperlink" Target="https://www.reuters.com/legal/transactional/tesla-shareholders-approve-878-billion-pay-plan-elon-musk-2025-11-06/" TargetMode="External"/><Relationship Id="rId10" Type="http://schemas.openxmlformats.org/officeDocument/2006/relationships/hyperlink" Target="https://www.tesla.com/master-plan-part-4" TargetMode="External"/><Relationship Id="rId11" Type="http://schemas.openxmlformats.org/officeDocument/2006/relationships/hyperlink" Target="https://www.tesla.com/master-plan-part-3" TargetMode="External"/><Relationship Id="rId12" Type="http://schemas.openxmlformats.org/officeDocument/2006/relationships/hyperlink" Target="https://www.reuters.com/business/autos-transportation/tesla-drops-reference-its-goal-delivering-20-mln-vehicles-annually-impact-report-2024-05-23/" TargetMode="External"/><Relationship Id="rId13" Type="http://schemas.openxmlformats.org/officeDocument/2006/relationships/hyperlink" Target="https://www.allthings-elon.com/articles/tesla-optimus-10-million-annual-target-elluswamy-2026-08-01" TargetMode="External"/><Relationship Id="rId14" Type="http://schemas.openxmlformats.org/officeDocument/2006/relationships/hyperlink" Target="https://eletric-vehicles.com/tesla/tesla-targets-at-least-2-million-cybercabs-produced-in-2026-musk-says/" TargetMode="External"/><Relationship Id="rId15" Type="http://schemas.openxmlformats.org/officeDocument/2006/relationships/hyperlink" Target="https://transcripts.platformaeronaut.com/transcripts/TSLA-2Q26-transcript" TargetMode="External"/><Relationship Id="rId16" Type="http://schemas.openxmlformats.org/officeDocument/2006/relationships/hyperlink" Target="https://electrek.co/2026/01/14/tesla-tsla-stop-selling-full-self-driving-package-subscription-only/" TargetMode="External"/><Relationship Id="rId17" Type="http://schemas.openxmlformats.org/officeDocument/2006/relationships/hyperlink" Target="https://static.poder360.com.br/uploads/2026/08/SpaceX-Reports-Second-Quarter-2026-Results.pdf" TargetMode="External"/><Relationship Id="rId18" Type="http://schemas.openxmlformats.org/officeDocument/2006/relationships/hyperlink" Target="https://finance.yahoo.com/markets/stocks/articles/spacex-spcx-q2-2026-earnings-004252131.html" TargetMode="External"/><Relationship Id="rId19" Type="http://schemas.openxmlformats.org/officeDocument/2006/relationships/hyperlink" Target="https://www.cnbc.com/2026/02/03/musk-xai-spacex-biggest-merger-ever.html" TargetMode="External"/><Relationship Id="rId20" Type="http://schemas.openxmlformats.org/officeDocument/2006/relationships/hyperlink" Target="https://cryptobriefing.com/spacex-stock-slides-ipo-price/" TargetMode="External"/><Relationship Id="rId21" Type="http://schemas.openxmlformats.org/officeDocument/2006/relationships/hyperlink" Target="https://247wallst.com/investing/2026/10/05/tesla-is-down-16-this-year-and-bettors-now-favor-a-musk-merger-with-spacex/" TargetMode="External"/><Relationship Id="rId22" Type="http://schemas.openxmlformats.org/officeDocument/2006/relationships/hyperlink" Target="https://financefeeds.com/tesla-spacex-merger-39-percent-premium-2-trillion-trigger/" TargetMode="External"/><Relationship Id="rId23" Type="http://schemas.openxmlformats.org/officeDocument/2006/relationships/hyperlink" Target="https://www.morningstar.com/stocks/tesla-reported-china-divestiture-plan-could-clear-path-spacex-merger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www.youtube.com/live/05Q876varGE?si=USo_jcTC7ZKefdZ1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youtu.be/m95AIbxKevY?si=p_p8IFn4mG6at8uB" TargetMode="External"/><Relationship Id="rId2" Type="http://schemas.openxmlformats.org/officeDocument/2006/relationships/hyperlink" Target="https://youtu.be/m95AIbxKevY?si=p_p8IFn4mG6at8uB" TargetMode="External"/><Relationship Id="rId3" Type="http://schemas.openxmlformats.org/officeDocument/2006/relationships/hyperlink" Target="https://youtu.be/m95AIbxKevY?si=p_p8IFn4mG6at8uB" TargetMode="External"/><Relationship Id="rId4" Type="http://schemas.openxmlformats.org/officeDocument/2006/relationships/hyperlink" Target="https://youtu.be/m95AIbxKevY?si=p_p8IFn4mG6at8uB" TargetMode="External"/><Relationship Id="rId5" Type="http://schemas.openxmlformats.org/officeDocument/2006/relationships/hyperlink" Target="https://youtu.be/m95AIbxKevY?si=p_p8IFn4mG6at8u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0"/>
  </cols>
  <sheetData>
    <row r="1" customFormat="false" ht="24.45" hidden="false" customHeight="false" outlineLevel="0" collapsed="false">
      <c r="A1" s="2" t="s">
        <v>0</v>
      </c>
    </row>
    <row r="3" customFormat="false" ht="16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/>
      <c r="B4" s="5" t="s">
        <v>2</v>
      </c>
    </row>
    <row r="5" customFormat="false" ht="15" hidden="false" customHeight="false" outlineLevel="0" collapsed="false">
      <c r="A5" s="4"/>
      <c r="B5" s="5" t="s">
        <v>3</v>
      </c>
    </row>
    <row r="6" customFormat="false" ht="15" hidden="false" customHeight="false" outlineLevel="0" collapsed="false">
      <c r="A6" s="4"/>
      <c r="B6" s="5" t="s">
        <v>4</v>
      </c>
    </row>
    <row r="7" customFormat="false" ht="15" hidden="false" customHeight="false" outlineLevel="0" collapsed="false">
      <c r="A7" s="4"/>
    </row>
    <row r="8" customFormat="false" ht="16.15" hidden="false" customHeight="false" outlineLevel="0" collapsed="false">
      <c r="A8" s="6" t="s">
        <v>5</v>
      </c>
    </row>
    <row r="9" customFormat="false" ht="15" hidden="false" customHeight="false" outlineLevel="0" collapsed="false">
      <c r="A9" s="4" t="s">
        <v>6</v>
      </c>
      <c r="B9" s="1" t="s">
        <v>7</v>
      </c>
    </row>
    <row r="10" customFormat="false" ht="15" hidden="false" customHeight="false" outlineLevel="0" collapsed="false">
      <c r="A10" s="4" t="s">
        <v>8</v>
      </c>
      <c r="B10" s="1" t="s">
        <v>9</v>
      </c>
    </row>
    <row r="11" customFormat="false" ht="15" hidden="false" customHeight="false" outlineLevel="0" collapsed="false">
      <c r="A11" s="4" t="s">
        <v>10</v>
      </c>
      <c r="B11" s="1" t="s">
        <v>11</v>
      </c>
    </row>
    <row r="12" customFormat="false" ht="15" hidden="false" customHeight="false" outlineLevel="0" collapsed="false">
      <c r="A12" s="4" t="s">
        <v>12</v>
      </c>
      <c r="B12" s="1" t="s">
        <v>13</v>
      </c>
    </row>
    <row r="13" customFormat="false" ht="15" hidden="false" customHeight="false" outlineLevel="0" collapsed="false">
      <c r="A13" s="4" t="s">
        <v>14</v>
      </c>
      <c r="B13" s="1" t="s">
        <v>15</v>
      </c>
    </row>
    <row r="14" customFormat="false" ht="15" hidden="false" customHeight="false" outlineLevel="0" collapsed="false">
      <c r="A14" s="4" t="s">
        <v>16</v>
      </c>
      <c r="B14" s="1" t="s">
        <v>17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7" t="s">
        <v>18</v>
      </c>
      <c r="B16" s="1" t="s">
        <v>19</v>
      </c>
    </row>
    <row r="17" customFormat="false" ht="15" hidden="false" customHeight="false" outlineLevel="0" collapsed="false">
      <c r="A17" s="4"/>
      <c r="B17" s="8" t="s">
        <v>20</v>
      </c>
    </row>
  </sheetData>
  <hyperlinks>
    <hyperlink ref="B17" r:id="rId1" display="https://colin-3d-models.netlify.app/tesla-model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1937"/>
    <pageSetUpPr fitToPage="tru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11"/>
    <col collapsed="false" customWidth="true" hidden="false" outlineLevel="0" max="6" min="4" style="1" width="15"/>
    <col collapsed="false" customWidth="true" hidden="false" outlineLevel="0" max="9" min="7" style="1" width="14"/>
    <col collapsed="false" customWidth="true" hidden="false" outlineLevel="0" max="10" min="10" style="1" width="4"/>
    <col collapsed="false" customWidth="true" hidden="false" outlineLevel="0" max="11" min="11" style="1" width="40"/>
    <col collapsed="false" customWidth="true" hidden="false" outlineLevel="0" max="12" min="12" style="1" width="12"/>
    <col collapsed="false" customWidth="true" hidden="false" outlineLevel="0" max="14" min="13" style="1" width="16"/>
  </cols>
  <sheetData>
    <row r="1" customFormat="false" ht="24.45" hidden="false" customHeight="false" outlineLevel="0" collapsed="false">
      <c r="A1" s="2" t="s">
        <v>21</v>
      </c>
    </row>
    <row r="2" customFormat="false" ht="15" hidden="false" customHeight="false" outlineLevel="0" collapsed="false">
      <c r="A2" s="9" t="str">
        <f aca="false">CONCATENATE("Scenario: ",Inputs!B4,"   |   Merger: ",Inputs!$B$19,IF(Inputs!$B$19="Yes"," in "&amp;Inputs!$B$20,""),"   |   Prices as of ",Inputs!$B$10)</f>
        <v>Scenario: Tesla hits all targets   |   Merger: Yes in 2027   |   Prices as of 8 Oct 2026</v>
      </c>
    </row>
    <row r="3" customFormat="false" ht="15" hidden="false" customHeight="false" outlineLevel="0" collapsed="false">
      <c r="A3" s="10" t="s">
        <v>22</v>
      </c>
    </row>
    <row r="5" customFormat="false" ht="15" hidden="false" customHeight="false" outlineLevel="0" collapsed="false">
      <c r="A5" s="11" t="s">
        <v>23</v>
      </c>
      <c r="B5" s="11"/>
      <c r="C5" s="11" t="s">
        <v>24</v>
      </c>
      <c r="D5" s="11"/>
      <c r="E5" s="11" t="s">
        <v>25</v>
      </c>
      <c r="F5" s="11"/>
      <c r="G5" s="11" t="s">
        <v>26</v>
      </c>
      <c r="H5" s="11"/>
      <c r="I5" s="11" t="s">
        <v>27</v>
      </c>
      <c r="J5" s="11"/>
      <c r="K5" s="11" t="s">
        <v>28</v>
      </c>
      <c r="L5" s="11"/>
    </row>
    <row r="6" customFormat="false" ht="19.7" hidden="false" customHeight="false" outlineLevel="0" collapsed="false">
      <c r="A6" s="12" t="n">
        <f aca="false">Inputs!$B$9</f>
        <v>375</v>
      </c>
      <c r="B6" s="12"/>
      <c r="C6" s="13" t="n">
        <f aca="false">Holdings!D15</f>
        <v>368.48</v>
      </c>
      <c r="D6" s="13"/>
      <c r="E6" s="14" t="n">
        <f aca="false">Holdings!D15*Inputs!$B$9/Inputs!$B$14</f>
        <v>104452.339557034</v>
      </c>
      <c r="F6" s="14"/>
      <c r="G6" s="14" t="n">
        <f aca="false">(Holdings!D15*Inputs!$B$9-Holdings!D17)/Inputs!$B$14</f>
        <v>35378.5513644266</v>
      </c>
      <c r="H6" s="14"/>
      <c r="I6" s="15" t="n">
        <f aca="false">IFERROR(Holdings!D15*Inputs!$B$9/Holdings!D17-1,0)</f>
        <v>0.512184900960929</v>
      </c>
      <c r="J6" s="15"/>
      <c r="K6" s="16" t="n">
        <f aca="false">Holdings!D18</f>
        <v>278.53957215209</v>
      </c>
      <c r="L6" s="16"/>
    </row>
    <row r="8" customFormat="false" ht="16.15" hidden="false" customHeight="false" outlineLevel="0" collapsed="false">
      <c r="A8" s="6" t="s">
        <v>29</v>
      </c>
      <c r="K8" s="6" t="s">
        <v>30</v>
      </c>
    </row>
    <row r="9" customFormat="false" ht="28.35" hidden="false" customHeight="false" outlineLevel="0" collapsed="false">
      <c r="A9" s="17" t="s">
        <v>31</v>
      </c>
      <c r="B9" s="17" t="s">
        <v>32</v>
      </c>
      <c r="C9" s="17" t="s">
        <v>33</v>
      </c>
      <c r="D9" s="17" t="s">
        <v>34</v>
      </c>
      <c r="E9" s="17" t="s">
        <v>35</v>
      </c>
      <c r="F9" s="17" t="s">
        <v>36</v>
      </c>
      <c r="G9" s="17" t="s">
        <v>37</v>
      </c>
      <c r="H9" s="17" t="s">
        <v>38</v>
      </c>
      <c r="I9" s="17" t="s">
        <v>39</v>
      </c>
      <c r="K9" s="17" t="s">
        <v>40</v>
      </c>
      <c r="L9" s="17" t="s">
        <v>41</v>
      </c>
      <c r="M9" s="17" t="s">
        <v>42</v>
      </c>
      <c r="N9" s="17" t="s">
        <v>43</v>
      </c>
    </row>
    <row r="10" customFormat="false" ht="15" hidden="false" customHeight="false" outlineLevel="0" collapsed="false">
      <c r="A10" s="18" t="n">
        <v>2027</v>
      </c>
      <c r="B10" s="19" t="n">
        <f aca="false">INDEX(Projection!$AL$8:$AL$28,MATCH($A10,Projection!$A$8:$A$28,0))</f>
        <v>500.296265658405</v>
      </c>
      <c r="C10" s="20" t="n">
        <f aca="false">INDEX(Projection!$AP$8:$AP$28,MATCH($A10,Projection!$A$8:$A$28,0))</f>
        <v>1.33412337508908</v>
      </c>
      <c r="D10" s="19" t="n">
        <f aca="false">INDEX(Projection!$AM$8:$AM$28,MATCH($A10,Projection!$A$8:$A$28,0))</f>
        <v>184349.167969809</v>
      </c>
      <c r="E10" s="21" t="n">
        <f aca="false">INDEX(Projection!$AN$8:$AN$28,MATCH($A10,Projection!$A$8:$A$28,0))</f>
        <v>139352.30778578</v>
      </c>
      <c r="F10" s="21" t="n">
        <f aca="false">INDEX(Projection!$AO$8:$AO$28,MATCH($A10,Projection!$A$8:$A$28,0))</f>
        <v>135953.471010518</v>
      </c>
      <c r="G10" s="22" t="n">
        <f aca="false">INDEX(Projection!$V$8:$V$28,MATCH($A10,Projection!$A$8:$A$28,0))</f>
        <v>134.744732637074</v>
      </c>
      <c r="H10" s="22" t="n">
        <f aca="false">INDEX(Projection!$W$8:$W$28,MATCH($A10,Projection!$A$8:$A$28,0))</f>
        <v>17.2562398545074</v>
      </c>
      <c r="I10" s="22" t="n">
        <f aca="false">INDEX(Projection!$AA$8:$AA$28,MATCH($A10,Projection!$A$8:$A$28,0))</f>
        <v>1368.57591700629</v>
      </c>
      <c r="K10" s="23" t="s">
        <v>44</v>
      </c>
      <c r="L10" s="22" t="n">
        <f aca="false">Inputs!$B$56</f>
        <v>8500</v>
      </c>
      <c r="M10" s="23" t="n">
        <f aca="false">IF(COUNTIF(Projection!$AA$8:$AA$28,"&gt;="&amp;L10)=0,"Not by 2046",_xlfn.MINIFS(Projection!$A$8:$A$28,Projection!$AA$8:$AA$28,"&gt;="&amp;L10))</f>
        <v>2032</v>
      </c>
      <c r="N10" s="23" t="str">
        <f aca="false">IF(ISNUMBER(M10),IF(M10&lt;=Inputs!$B$62,"YES","LATE"),"NO")</f>
        <v>YES</v>
      </c>
    </row>
    <row r="11" customFormat="false" ht="15" hidden="false" customHeight="false" outlineLevel="0" collapsed="false">
      <c r="A11" s="18" t="n">
        <v>2030</v>
      </c>
      <c r="B11" s="19" t="n">
        <f aca="false">INDEX(Projection!$AL$8:$AL$28,MATCH($A11,Projection!$A$8:$A$28,0))</f>
        <v>2700.84825741398</v>
      </c>
      <c r="C11" s="20" t="n">
        <f aca="false">INDEX(Projection!$AP$8:$AP$28,MATCH($A11,Projection!$A$8:$A$28,0))</f>
        <v>7.2022620197706</v>
      </c>
      <c r="D11" s="19" t="n">
        <f aca="false">INDEX(Projection!$AM$8:$AM$28,MATCH($A11,Projection!$A$8:$A$28,0))</f>
        <v>995208.565891902</v>
      </c>
      <c r="E11" s="21" t="n">
        <f aca="false">INDEX(Projection!$AN$8:$AN$28,MATCH($A11,Projection!$A$8:$A$28,0))</f>
        <v>752293.118067807</v>
      </c>
      <c r="F11" s="21" t="n">
        <f aca="false">INDEX(Projection!$AO$8:$AO$28,MATCH($A11,Projection!$A$8:$A$28,0))</f>
        <v>681540.435391948</v>
      </c>
      <c r="G11" s="22" t="n">
        <f aca="false">INDEX(Projection!$V$8:$V$28,MATCH($A11,Projection!$A$8:$A$28,0))</f>
        <v>330.723085686797</v>
      </c>
      <c r="H11" s="22" t="n">
        <f aca="false">INDEX(Projection!$W$8:$W$28,MATCH($A11,Projection!$A$8:$A$28,0))</f>
        <v>80.0410798427309</v>
      </c>
      <c r="I11" s="22" t="n">
        <f aca="false">INDEX(Projection!$AA$8:$AA$28,MATCH($A11,Projection!$A$8:$A$28,0))</f>
        <v>4644.74453417034</v>
      </c>
      <c r="K11" s="23" t="s">
        <v>45</v>
      </c>
      <c r="L11" s="24" t="n">
        <f aca="false">Inputs!$B$57</f>
        <v>20</v>
      </c>
      <c r="M11" s="23" t="n">
        <f aca="false">IF(COUNTIF(Projection!$E$8:$E$28,"&gt;="&amp;L11)=0,"Not by 2046",_xlfn.MINIFS(Projection!$A$8:$A$28,Projection!$E$8:$E$28,"&gt;="&amp;L11))</f>
        <v>2030</v>
      </c>
      <c r="N11" s="23" t="str">
        <f aca="false">IF(ISNUMBER(M11),IF(M11&lt;=Inputs!$B$62,"YES","LATE"),"NO")</f>
        <v>YES</v>
      </c>
    </row>
    <row r="12" customFormat="false" ht="15" hidden="false" customHeight="false" outlineLevel="0" collapsed="false">
      <c r="A12" s="18" t="n">
        <v>2036</v>
      </c>
      <c r="B12" s="19" t="n">
        <f aca="false">INDEX(Projection!$AL$8:$AL$28,MATCH($A12,Projection!$A$8:$A$28,0))</f>
        <v>3858.67105722262</v>
      </c>
      <c r="C12" s="20" t="n">
        <f aca="false">INDEX(Projection!$AP$8:$AP$28,MATCH($A12,Projection!$A$8:$A$28,0))</f>
        <v>10.289789485927</v>
      </c>
      <c r="D12" s="19" t="n">
        <f aca="false">INDEX(Projection!$AM$8:$AM$28,MATCH($A12,Projection!$A$8:$A$28,0))</f>
        <v>1421843.11116539</v>
      </c>
      <c r="E12" s="21" t="n">
        <f aca="false">INDEX(Projection!$AN$8:$AN$28,MATCH($A12,Projection!$A$8:$A$28,0))</f>
        <v>1074792.58535444</v>
      </c>
      <c r="F12" s="21" t="n">
        <f aca="false">INDEX(Projection!$AO$8:$AO$28,MATCH($A12,Projection!$A$8:$A$28,0))</f>
        <v>839626.249865553</v>
      </c>
      <c r="G12" s="22" t="n">
        <f aca="false">INDEX(Projection!$V$8:$V$28,MATCH($A12,Projection!$A$8:$A$28,0))</f>
        <v>1432.66115980348</v>
      </c>
      <c r="H12" s="22" t="n">
        <f aca="false">INDEX(Projection!$W$8:$W$28,MATCH($A12,Projection!$A$8:$A$28,0))</f>
        <v>563.210181272086</v>
      </c>
      <c r="I12" s="22" t="n">
        <f aca="false">INDEX(Projection!$AA$8:$AA$28,MATCH($A12,Projection!$A$8:$A$28,0))</f>
        <v>15189.41922496</v>
      </c>
      <c r="K12" s="23" t="s">
        <v>46</v>
      </c>
      <c r="L12" s="24" t="n">
        <f aca="false">Inputs!$B$58</f>
        <v>10</v>
      </c>
      <c r="M12" s="23" t="n">
        <f aca="false">IF(COUNTIF(Projection!$H$8:$H$28,"&gt;="&amp;L12)=0,"Not by 2046",_xlfn.MINIFS(Projection!$A$8:$A$28,Projection!$H$8:$H$28,"&gt;="&amp;L12))</f>
        <v>2031</v>
      </c>
      <c r="N12" s="23" t="str">
        <f aca="false">IF(ISNUMBER(M12),IF(M12&lt;=Inputs!$B$62,"YES","LATE"),"NO")</f>
        <v>YES</v>
      </c>
    </row>
    <row r="13" customFormat="false" ht="15" hidden="false" customHeight="false" outlineLevel="0" collapsed="false">
      <c r="A13" s="18" t="n">
        <v>2041</v>
      </c>
      <c r="B13" s="19" t="n">
        <f aca="false">INDEX(Projection!$AL$8:$AL$28,MATCH($A13,Projection!$A$8:$A$28,0))</f>
        <v>3451.72442292509</v>
      </c>
      <c r="C13" s="20" t="n">
        <f aca="false">INDEX(Projection!$AP$8:$AP$28,MATCH($A13,Projection!$A$8:$A$28,0))</f>
        <v>9.20459846113358</v>
      </c>
      <c r="D13" s="19" t="n">
        <f aca="false">INDEX(Projection!$AM$8:$AM$28,MATCH($A13,Projection!$A$8:$A$28,0))</f>
        <v>1271891.41535944</v>
      </c>
      <c r="E13" s="21" t="n">
        <f aca="false">INDEX(Projection!$AN$8:$AN$28,MATCH($A13,Projection!$A$8:$A$28,0))</f>
        <v>961441.843948475</v>
      </c>
      <c r="F13" s="21" t="n">
        <f aca="false">INDEX(Projection!$AO$8:$AO$28,MATCH($A13,Projection!$A$8:$A$28,0))</f>
        <v>663842.478150186</v>
      </c>
      <c r="G13" s="22" t="n">
        <f aca="false">INDEX(Projection!$V$8:$V$28,MATCH($A13,Projection!$A$8:$A$28,0))</f>
        <v>2012.11476202105</v>
      </c>
      <c r="H13" s="22" t="n">
        <f aca="false">INDEX(Projection!$W$8:$W$28,MATCH($A13,Projection!$A$8:$A$28,0))</f>
        <v>804.219025788652</v>
      </c>
      <c r="I13" s="22" t="n">
        <f aca="false">INDEX(Projection!$AA$8:$AA$28,MATCH($A13,Projection!$A$8:$A$28,0))</f>
        <v>16367.4305903708</v>
      </c>
      <c r="K13" s="23" t="s">
        <v>47</v>
      </c>
      <c r="L13" s="24" t="n">
        <f aca="false">Inputs!$B$59</f>
        <v>1</v>
      </c>
      <c r="M13" s="23" t="n">
        <f aca="false">IF(COUNTIF(Projection!$J$8:$J$28,"&gt;="&amp;L13)=0,"Not by 2046",_xlfn.MINIFS(Projection!$A$8:$A$28,Projection!$J$8:$J$28,"&gt;="&amp;L13))</f>
        <v>2030</v>
      </c>
      <c r="N13" s="23" t="str">
        <f aca="false">IF(ISNUMBER(M13),IF(M13&lt;=Inputs!$B$62,"YES","LATE"),"NO")</f>
        <v>YES</v>
      </c>
    </row>
    <row r="14" customFormat="false" ht="15" hidden="false" customHeight="false" outlineLevel="0" collapsed="false">
      <c r="A14" s="18" t="n">
        <v>2046</v>
      </c>
      <c r="B14" s="19" t="n">
        <f aca="false">INDEX(Projection!$AL$8:$AL$28,MATCH($A14,Projection!$A$8:$A$28,0))</f>
        <v>3307.02949550668</v>
      </c>
      <c r="C14" s="20" t="n">
        <f aca="false">INDEX(Projection!$AP$8:$AP$28,MATCH($A14,Projection!$A$8:$A$28,0))</f>
        <v>8.81874532135115</v>
      </c>
      <c r="D14" s="19" t="n">
        <f aca="false">INDEX(Projection!$AM$8:$AM$28,MATCH($A14,Projection!$A$8:$A$28,0))</f>
        <v>1218574.2285043</v>
      </c>
      <c r="E14" s="21" t="n">
        <f aca="false">INDEX(Projection!$AN$8:$AN$28,MATCH($A14,Projection!$A$8:$A$28,0))</f>
        <v>921138.580772774</v>
      </c>
      <c r="F14" s="21" t="n">
        <f aca="false">INDEX(Projection!$AO$8:$AO$28,MATCH($A14,Projection!$A$8:$A$28,0))</f>
        <v>562144.110191846</v>
      </c>
      <c r="G14" s="22" t="n">
        <f aca="false">INDEX(Projection!$V$8:$V$28,MATCH($A14,Projection!$A$8:$A$28,0))</f>
        <v>2108.24346781662</v>
      </c>
      <c r="H14" s="22" t="n">
        <f aca="false">INDEX(Projection!$W$8:$W$28,MATCH($A14,Projection!$A$8:$A$28,0))</f>
        <v>838.472673442013</v>
      </c>
      <c r="I14" s="22" t="n">
        <f aca="false">INDEX(Projection!$AA$8:$AA$28,MATCH($A14,Projection!$A$8:$A$28,0))</f>
        <v>16847.8762673705</v>
      </c>
      <c r="K14" s="23" t="s">
        <v>48</v>
      </c>
      <c r="L14" s="24" t="n">
        <f aca="false">Inputs!$B$60</f>
        <v>1</v>
      </c>
      <c r="M14" s="23" t="n">
        <f aca="false">IF(COUNTIF(Projection!$O$8:$O$28,"&gt;="&amp;L14)=0,"Not by 2046",_xlfn.MINIFS(Projection!$A$8:$A$28,Projection!$O$8:$O$28,"&gt;="&amp;L14))</f>
        <v>2031</v>
      </c>
      <c r="N14" s="23" t="str">
        <f aca="false">IF(ISNUMBER(M14),IF(M14&lt;=Inputs!$B$62,"YES","LATE"),"NO")</f>
        <v>YES</v>
      </c>
    </row>
    <row r="15" customFormat="false" ht="15" hidden="false" customHeight="false" outlineLevel="0" collapsed="false">
      <c r="A15" s="25" t="s">
        <v>49</v>
      </c>
      <c r="K15" s="23" t="s">
        <v>50</v>
      </c>
      <c r="L15" s="22" t="n">
        <f aca="false">Inputs!$B$61</f>
        <v>400</v>
      </c>
      <c r="M15" s="23" t="n">
        <f aca="false">IF(COUNTIF(Projection!$W$8:$W$28,"&gt;="&amp;L15)=0,"Not by 2046",_xlfn.MINIFS(Projection!$A$8:$A$28,Projection!$W$8:$W$28,"&gt;="&amp;L15))</f>
        <v>2035</v>
      </c>
      <c r="N15" s="23" t="str">
        <f aca="false">IF(ISNUMBER(M15),IF(M15&lt;=Inputs!$B$62,"YES","LATE"),"NO")</f>
        <v>YES</v>
      </c>
    </row>
    <row r="16" customFormat="false" ht="15" hidden="false" customHeight="false" outlineLevel="0" collapsed="false">
      <c r="K16" s="4" t="str">
        <f aca="false">CONCATENATE("Milestones met by ",Inputs!$B$62,": ",COUNTIF(N10:N15,"YES")," of 6")</f>
        <v>Milestones met by 2035: 6 of 6</v>
      </c>
    </row>
    <row r="17" customFormat="false" ht="16.15" hidden="false" customHeight="false" outlineLevel="0" collapsed="false">
      <c r="A17" s="6" t="s">
        <v>51</v>
      </c>
    </row>
    <row r="18" customFormat="false" ht="28.35" hidden="false" customHeight="false" outlineLevel="0" collapsed="false">
      <c r="A18" s="17" t="s">
        <v>31</v>
      </c>
      <c r="B18" s="17" t="s">
        <v>52</v>
      </c>
      <c r="C18" s="17" t="s">
        <v>53</v>
      </c>
      <c r="D18" s="17" t="s">
        <v>54</v>
      </c>
      <c r="E18" s="17" t="s">
        <v>55</v>
      </c>
      <c r="F18" s="17" t="s">
        <v>56</v>
      </c>
      <c r="G18" s="17" t="s">
        <v>57</v>
      </c>
      <c r="H18" s="17" t="s">
        <v>58</v>
      </c>
      <c r="I18" s="17" t="s">
        <v>59</v>
      </c>
      <c r="K18" s="6" t="s">
        <v>60</v>
      </c>
    </row>
    <row r="19" customFormat="false" ht="15" hidden="false" customHeight="false" outlineLevel="0" collapsed="false">
      <c r="A19" s="1" t="n">
        <v>2026</v>
      </c>
      <c r="B19" s="19" t="n">
        <f aca="false">Proj_Targets!AL8</f>
        <v>375</v>
      </c>
      <c r="C19" s="19" t="n">
        <f aca="false">Proj_Base!AL8</f>
        <v>375</v>
      </c>
      <c r="D19" s="19" t="n">
        <f aca="false">Proj_Conservative!AL8</f>
        <v>375</v>
      </c>
      <c r="E19" s="21" t="n">
        <f aca="false">Proj_Targets!AN8</f>
        <v>104452.339557034</v>
      </c>
      <c r="F19" s="21" t="n">
        <f aca="false">Proj_Base!AN8</f>
        <v>104452.339557034</v>
      </c>
      <c r="G19" s="21" t="n">
        <f aca="false">Proj_Conservative!AN8</f>
        <v>104452.339557034</v>
      </c>
      <c r="H19" s="19" t="n">
        <f aca="false">Projection!AL8</f>
        <v>375</v>
      </c>
      <c r="I19" s="21" t="n">
        <f aca="false">Projection!AN8</f>
        <v>104452.339557034</v>
      </c>
      <c r="K19" s="1" t="s">
        <v>61</v>
      </c>
      <c r="N19" s="26" t="n">
        <f aca="false">Projection!B4</f>
        <v>2.33543003051629</v>
      </c>
    </row>
    <row r="20" customFormat="false" ht="15" hidden="false" customHeight="false" outlineLevel="0" collapsed="false">
      <c r="A20" s="1" t="n">
        <v>2027</v>
      </c>
      <c r="B20" s="19" t="n">
        <f aca="false">Proj_Targets!AL9</f>
        <v>500.296265658405</v>
      </c>
      <c r="C20" s="19" t="n">
        <f aca="false">Proj_Base!AL9</f>
        <v>299.098122254049</v>
      </c>
      <c r="D20" s="19" t="n">
        <f aca="false">Proj_Conservative!AL9</f>
        <v>266.772240336302</v>
      </c>
      <c r="E20" s="21" t="n">
        <f aca="false">Proj_Targets!AN9</f>
        <v>139352.30778578</v>
      </c>
      <c r="F20" s="21" t="n">
        <f aca="false">Proj_Base!AN9</f>
        <v>83310.6630041364</v>
      </c>
      <c r="G20" s="21" t="n">
        <f aca="false">Proj_Conservative!AN9</f>
        <v>74306.6256853281</v>
      </c>
      <c r="H20" s="19" t="n">
        <f aca="false">Projection!AL9</f>
        <v>500.296265658405</v>
      </c>
      <c r="I20" s="21" t="n">
        <f aca="false">Projection!AN9</f>
        <v>139352.30778578</v>
      </c>
      <c r="K20" s="1" t="s">
        <v>62</v>
      </c>
      <c r="N20" s="27" t="n">
        <f aca="false">Projection!B4*Inputs!$B$11/(Inputs!$B$13+Projection!B4*Inputs!$B$11)</f>
        <v>0.404665063625179</v>
      </c>
    </row>
    <row r="21" customFormat="false" ht="15" hidden="false" customHeight="false" outlineLevel="0" collapsed="false">
      <c r="A21" s="1" t="n">
        <v>2028</v>
      </c>
      <c r="B21" s="19" t="n">
        <f aca="false">Proj_Targets!AL10</f>
        <v>993.908097190529</v>
      </c>
      <c r="C21" s="19" t="n">
        <f aca="false">Proj_Base!AL10</f>
        <v>264.259390593373</v>
      </c>
      <c r="D21" s="19" t="n">
        <f aca="false">Proj_Conservative!AL10</f>
        <v>166.237842699538</v>
      </c>
      <c r="E21" s="21" t="n">
        <f aca="false">Proj_Targets!AN10</f>
        <v>276842.736149948</v>
      </c>
      <c r="F21" s="21" t="n">
        <f aca="false">Proj_Base!AN10</f>
        <v>73606.6975930501</v>
      </c>
      <c r="G21" s="21" t="n">
        <f aca="false">Proj_Conservative!AN10</f>
        <v>46303.8175810159</v>
      </c>
      <c r="H21" s="19" t="n">
        <f aca="false">Projection!AL10</f>
        <v>993.908097190529</v>
      </c>
      <c r="I21" s="21" t="n">
        <f aca="false">Projection!AN10</f>
        <v>276842.736149948</v>
      </c>
      <c r="K21" s="1" t="s">
        <v>63</v>
      </c>
      <c r="N21" s="26" t="n">
        <f aca="false">Inputs!$B$9/Inputs!$B$12</f>
        <v>2.33543003051629</v>
      </c>
    </row>
    <row r="22" customFormat="false" ht="15" hidden="false" customHeight="false" outlineLevel="0" collapsed="false">
      <c r="A22" s="1" t="n">
        <v>2029</v>
      </c>
      <c r="B22" s="19" t="n">
        <f aca="false">Proj_Targets!AL11</f>
        <v>2003.38658059098</v>
      </c>
      <c r="C22" s="19" t="n">
        <f aca="false">Proj_Base!AL11</f>
        <v>283.985403943976</v>
      </c>
      <c r="D22" s="19" t="n">
        <f aca="false">Proj_Conservative!AL11</f>
        <v>74.547023656365</v>
      </c>
      <c r="E22" s="21" t="n">
        <f aca="false">Proj_Targets!AN11</f>
        <v>558022.44101305</v>
      </c>
      <c r="F22" s="21" t="n">
        <f aca="false">Proj_Base!AN11</f>
        <v>79101.1729119935</v>
      </c>
      <c r="G22" s="21" t="n">
        <f aca="false">Proj_Conservative!AN11</f>
        <v>20764.2960744557</v>
      </c>
      <c r="H22" s="19" t="n">
        <f aca="false">Projection!AL11</f>
        <v>2003.38658059098</v>
      </c>
      <c r="I22" s="21" t="n">
        <f aca="false">Projection!AN11</f>
        <v>558022.44101305</v>
      </c>
      <c r="K22" s="1" t="s">
        <v>64</v>
      </c>
      <c r="N22" s="26" t="n">
        <f aca="false">Inputs!$B$13/Inputs!$B$11</f>
        <v>3.4358367291946</v>
      </c>
    </row>
    <row r="23" customFormat="false" ht="15" hidden="false" customHeight="false" outlineLevel="0" collapsed="false">
      <c r="A23" s="1" t="n">
        <v>2030</v>
      </c>
      <c r="B23" s="19" t="n">
        <f aca="false">Proj_Targets!AL12</f>
        <v>2700.84825741398</v>
      </c>
      <c r="C23" s="19" t="n">
        <f aca="false">Proj_Base!AL12</f>
        <v>365.493901123976</v>
      </c>
      <c r="D23" s="19" t="n">
        <f aca="false">Proj_Conservative!AL12</f>
        <v>80.7815738631641</v>
      </c>
      <c r="E23" s="21" t="n">
        <f aca="false">Proj_Targets!AN12</f>
        <v>752293.118067807</v>
      </c>
      <c r="F23" s="21" t="n">
        <f aca="false">Proj_Base!AN12</f>
        <v>101804.514843271</v>
      </c>
      <c r="G23" s="21" t="n">
        <f aca="false">Proj_Conservative!AN12</f>
        <v>22500.8650216182</v>
      </c>
      <c r="H23" s="19" t="n">
        <f aca="false">Projection!AL12</f>
        <v>2700.84825741398</v>
      </c>
      <c r="I23" s="21" t="n">
        <f aca="false">Projection!AN12</f>
        <v>752293.118067807</v>
      </c>
      <c r="K23" s="1" t="s">
        <v>65</v>
      </c>
      <c r="N23" s="28" t="n">
        <f aca="false">Projection!B4*Holdings!D15</f>
        <v>860.559257644641</v>
      </c>
    </row>
    <row r="24" customFormat="false" ht="15" hidden="false" customHeight="false" outlineLevel="0" collapsed="false">
      <c r="A24" s="1" t="n">
        <v>2031</v>
      </c>
      <c r="B24" s="19" t="n">
        <f aca="false">Proj_Targets!AL13</f>
        <v>3348.26388238396</v>
      </c>
      <c r="C24" s="19" t="n">
        <f aca="false">Proj_Base!AL13</f>
        <v>455.213721586134</v>
      </c>
      <c r="D24" s="19" t="n">
        <f aca="false">Proj_Conservative!AL13</f>
        <v>87.8510815417812</v>
      </c>
      <c r="E24" s="21" t="n">
        <f aca="false">Proj_Targets!AN13</f>
        <v>932623.989251524</v>
      </c>
      <c r="F24" s="21" t="n">
        <f aca="false">Proj_Base!AN13</f>
        <v>126795.035248362</v>
      </c>
      <c r="G24" s="21" t="n">
        <f aca="false">Proj_Conservative!AN13</f>
        <v>24470.0026657461</v>
      </c>
      <c r="H24" s="19" t="n">
        <f aca="false">Projection!AL13</f>
        <v>3348.26388238396</v>
      </c>
      <c r="I24" s="21" t="n">
        <f aca="false">Projection!AN13</f>
        <v>932623.989251524</v>
      </c>
    </row>
    <row r="25" customFormat="false" ht="16.15" hidden="false" customHeight="false" outlineLevel="0" collapsed="false">
      <c r="A25" s="1" t="n">
        <v>2032</v>
      </c>
      <c r="B25" s="19" t="n">
        <f aca="false">Proj_Targets!AL14</f>
        <v>3684.1125889317</v>
      </c>
      <c r="C25" s="19" t="n">
        <f aca="false">Proj_Base!AL14</f>
        <v>529.785270847763</v>
      </c>
      <c r="D25" s="19" t="n">
        <f aca="false">Proj_Conservative!AL14</f>
        <v>96.9893830519554</v>
      </c>
      <c r="E25" s="21" t="n">
        <f aca="false">Proj_Targets!AN14</f>
        <v>1026171.14428116</v>
      </c>
      <c r="F25" s="21" t="n">
        <f aca="false">Proj_Base!AN14</f>
        <v>147566.162674415</v>
      </c>
      <c r="G25" s="21" t="n">
        <f aca="false">Proj_Conservative!AN14</f>
        <v>27015.3812585869</v>
      </c>
      <c r="H25" s="19" t="n">
        <f aca="false">Projection!AL14</f>
        <v>3684.1125889317</v>
      </c>
      <c r="I25" s="21" t="n">
        <f aca="false">Projection!AN14</f>
        <v>1026171.14428116</v>
      </c>
      <c r="K25" s="6" t="s">
        <v>66</v>
      </c>
    </row>
    <row r="26" customFormat="false" ht="15" hidden="false" customHeight="false" outlineLevel="0" collapsed="false">
      <c r="A26" s="1" t="n">
        <v>2033</v>
      </c>
      <c r="B26" s="19" t="n">
        <f aca="false">Proj_Targets!AL15</f>
        <v>3875.01891616371</v>
      </c>
      <c r="C26" s="19" t="n">
        <f aca="false">Proj_Base!AL15</f>
        <v>592.905670218474</v>
      </c>
      <c r="D26" s="19" t="n">
        <f aca="false">Proj_Conservative!AL15</f>
        <v>106.013549802025</v>
      </c>
      <c r="E26" s="21" t="n">
        <f aca="false">Proj_Targets!AN15</f>
        <v>1079346.11098949</v>
      </c>
      <c r="F26" s="21" t="n">
        <f aca="false">Proj_Base!AN15</f>
        <v>165147.691709202</v>
      </c>
      <c r="G26" s="21" t="n">
        <f aca="false">Proj_Conservative!AN15</f>
        <v>29528.9688041803</v>
      </c>
      <c r="H26" s="19" t="n">
        <f aca="false">Projection!AL15</f>
        <v>3875.01891616371</v>
      </c>
      <c r="I26" s="21" t="n">
        <f aca="false">Projection!AN15</f>
        <v>1079346.11098949</v>
      </c>
      <c r="K26" s="1" t="s">
        <v>67</v>
      </c>
      <c r="N26" s="29" t="n">
        <v>1000</v>
      </c>
    </row>
    <row r="27" customFormat="false" ht="16.15" hidden="false" customHeight="false" outlineLevel="0" collapsed="false">
      <c r="A27" s="1" t="n">
        <v>2034</v>
      </c>
      <c r="B27" s="19" t="n">
        <f aca="false">Proj_Targets!AL16</f>
        <v>3975.13680257006</v>
      </c>
      <c r="C27" s="19" t="n">
        <f aca="false">Proj_Base!AL16</f>
        <v>641.322179037079</v>
      </c>
      <c r="D27" s="19" t="n">
        <f aca="false">Proj_Conservative!AL16</f>
        <v>114.011716041373</v>
      </c>
      <c r="E27" s="21" t="n">
        <f aca="false">Proj_Targets!AN16</f>
        <v>1107232.90423389</v>
      </c>
      <c r="F27" s="21" t="n">
        <f aca="false">Proj_Base!AN16</f>
        <v>178633.605360634</v>
      </c>
      <c r="G27" s="21" t="n">
        <f aca="false">Proj_Conservative!AN16</f>
        <v>31756.7746064895</v>
      </c>
      <c r="H27" s="19" t="n">
        <f aca="false">Projection!AL16</f>
        <v>3975.13680257006</v>
      </c>
      <c r="I27" s="21" t="n">
        <f aca="false">Projection!AN16</f>
        <v>1107232.90423389</v>
      </c>
      <c r="K27" s="1" t="s">
        <v>68</v>
      </c>
      <c r="N27" s="30" t="n">
        <f aca="false">N26*Holdings!D15/Inputs!$B$14</f>
        <v>278539.57215209</v>
      </c>
    </row>
    <row r="28" customFormat="false" ht="15" hidden="false" customHeight="false" outlineLevel="0" collapsed="false">
      <c r="A28" s="1" t="n">
        <v>2035</v>
      </c>
      <c r="B28" s="19" t="n">
        <f aca="false">Proj_Targets!AL17</f>
        <v>3966.65915441453</v>
      </c>
      <c r="C28" s="19" t="n">
        <f aca="false">Proj_Base!AL17</f>
        <v>670.216751481485</v>
      </c>
      <c r="D28" s="19" t="n">
        <f aca="false">Proj_Conservative!AL17</f>
        <v>120.113597901567</v>
      </c>
      <c r="E28" s="21" t="n">
        <f aca="false">Proj_Targets!AN17</f>
        <v>1104871.5437438</v>
      </c>
      <c r="F28" s="21" t="n">
        <f aca="false">Proj_Base!AN17</f>
        <v>186681.887206817</v>
      </c>
      <c r="G28" s="21" t="n">
        <f aca="false">Proj_Conservative!AN17</f>
        <v>33456.3901691507</v>
      </c>
      <c r="H28" s="19" t="n">
        <f aca="false">Projection!AL17</f>
        <v>3966.65915441453</v>
      </c>
      <c r="I28" s="21" t="n">
        <f aca="false">Projection!AN17</f>
        <v>1104871.5437438</v>
      </c>
    </row>
    <row r="29" customFormat="false" ht="15" hidden="false" customHeight="false" outlineLevel="0" collapsed="false">
      <c r="A29" s="1" t="n">
        <v>2036</v>
      </c>
      <c r="B29" s="19" t="n">
        <f aca="false">Proj_Targets!AL18</f>
        <v>3858.67105722262</v>
      </c>
      <c r="C29" s="19" t="n">
        <f aca="false">Proj_Base!AL18</f>
        <v>679.041241775785</v>
      </c>
      <c r="D29" s="19" t="n">
        <f aca="false">Proj_Conservative!AL18</f>
        <v>123.677374691169</v>
      </c>
      <c r="E29" s="21" t="n">
        <f aca="false">Proj_Targets!AN18</f>
        <v>1074792.58535444</v>
      </c>
      <c r="F29" s="21" t="n">
        <f aca="false">Proj_Base!AN18</f>
        <v>189139.856957851</v>
      </c>
      <c r="G29" s="21" t="n">
        <f aca="false">Proj_Conservative!AN18</f>
        <v>34449.0430313719</v>
      </c>
      <c r="H29" s="19" t="n">
        <f aca="false">Projection!AL18</f>
        <v>3858.67105722262</v>
      </c>
      <c r="I29" s="21" t="n">
        <f aca="false">Projection!AN18</f>
        <v>1074792.58535444</v>
      </c>
    </row>
    <row r="30" customFormat="false" ht="15" hidden="false" customHeight="false" outlineLevel="0" collapsed="false">
      <c r="A30" s="1" t="n">
        <v>2037</v>
      </c>
      <c r="B30" s="19" t="n">
        <f aca="false">Proj_Targets!AL19</f>
        <v>3678.22977382841</v>
      </c>
      <c r="C30" s="19" t="n">
        <f aca="false">Proj_Base!AL19</f>
        <v>669.259628470624</v>
      </c>
      <c r="D30" s="19" t="n">
        <f aca="false">Proj_Conservative!AL19</f>
        <v>124.40621738927</v>
      </c>
      <c r="E30" s="21" t="n">
        <f aca="false">Proj_Targets!AN19</f>
        <v>1024532.54747925</v>
      </c>
      <c r="F30" s="21" t="n">
        <f aca="false">Proj_Base!AN19</f>
        <v>186415.290572875</v>
      </c>
      <c r="G30" s="21" t="n">
        <f aca="false">Proj_Conservative!AN19</f>
        <v>34652.0545646672</v>
      </c>
      <c r="H30" s="19" t="n">
        <f aca="false">Projection!AL19</f>
        <v>3678.22977382841</v>
      </c>
      <c r="I30" s="21" t="n">
        <f aca="false">Projection!AN19</f>
        <v>1024532.54747925</v>
      </c>
    </row>
    <row r="31" customFormat="false" ht="15" hidden="false" customHeight="false" outlineLevel="0" collapsed="false">
      <c r="A31" s="1" t="n">
        <v>2038</v>
      </c>
      <c r="B31" s="19" t="n">
        <f aca="false">Proj_Targets!AL20</f>
        <v>3434.65281825531</v>
      </c>
      <c r="C31" s="19" t="n">
        <f aca="false">Proj_Base!AL20</f>
        <v>643.349545681662</v>
      </c>
      <c r="D31" s="19" t="n">
        <f aca="false">Proj_Conservative!AL20</f>
        <v>122.346959848677</v>
      </c>
      <c r="E31" s="21" t="n">
        <f aca="false">Proj_Targets!AN20</f>
        <v>956686.726487804</v>
      </c>
      <c r="F31" s="21" t="n">
        <f aca="false">Proj_Base!AN20</f>
        <v>179198.307198412</v>
      </c>
      <c r="G31" s="21" t="n">
        <f aca="false">Proj_Conservative!AN20</f>
        <v>34078.4698503593</v>
      </c>
      <c r="H31" s="19" t="n">
        <f aca="false">Projection!AL20</f>
        <v>3434.65281825531</v>
      </c>
      <c r="I31" s="21" t="n">
        <f aca="false">Projection!AN20</f>
        <v>956686.726487804</v>
      </c>
    </row>
    <row r="32" customFormat="false" ht="15" hidden="false" customHeight="false" outlineLevel="0" collapsed="false">
      <c r="A32" s="1" t="n">
        <v>2039</v>
      </c>
      <c r="B32" s="19" t="n">
        <f aca="false">Proj_Targets!AL21</f>
        <v>3462.70634097558</v>
      </c>
      <c r="C32" s="19" t="n">
        <f aca="false">Proj_Base!AL21</f>
        <v>664.363902685793</v>
      </c>
      <c r="D32" s="19" t="n">
        <f aca="false">Proj_Conservative!AL21</f>
        <v>127.255383679418</v>
      </c>
      <c r="E32" s="21" t="n">
        <f aca="false">Proj_Targets!AN21</f>
        <v>964500.742703668</v>
      </c>
      <c r="F32" s="21" t="n">
        <f aca="false">Proj_Base!AN21</f>
        <v>185051.637207394</v>
      </c>
      <c r="G32" s="21" t="n">
        <f aca="false">Proj_Conservative!AN21</f>
        <v>35445.6601241152</v>
      </c>
      <c r="H32" s="19" t="n">
        <f aca="false">Projection!AL21</f>
        <v>3462.70634097558</v>
      </c>
      <c r="I32" s="21" t="n">
        <f aca="false">Projection!AN21</f>
        <v>964500.742703668</v>
      </c>
    </row>
    <row r="33" customFormat="false" ht="15" hidden="false" customHeight="false" outlineLevel="0" collapsed="false">
      <c r="A33" s="1" t="n">
        <v>2040</v>
      </c>
      <c r="B33" s="19" t="n">
        <f aca="false">Proj_Targets!AL22</f>
        <v>3465.71943185683</v>
      </c>
      <c r="C33" s="19" t="n">
        <f aca="false">Proj_Base!AL22</f>
        <v>677.706192482352</v>
      </c>
      <c r="D33" s="19" t="n">
        <f aca="false">Proj_Conservative!AL22</f>
        <v>130.727844802539</v>
      </c>
      <c r="E33" s="21" t="n">
        <f aca="false">Proj_Targets!AN22</f>
        <v>965340.007748586</v>
      </c>
      <c r="F33" s="21" t="n">
        <f aca="false">Proj_Base!AN22</f>
        <v>188767.992898856</v>
      </c>
      <c r="G33" s="21" t="n">
        <f aca="false">Proj_Conservative!AN22</f>
        <v>36412.8779596639</v>
      </c>
      <c r="H33" s="19" t="n">
        <f aca="false">Projection!AL22</f>
        <v>3465.71943185683</v>
      </c>
      <c r="I33" s="21" t="n">
        <f aca="false">Projection!AN22</f>
        <v>965340.007748586</v>
      </c>
    </row>
    <row r="34" customFormat="false" ht="15" hidden="false" customHeight="false" outlineLevel="0" collapsed="false">
      <c r="A34" s="1" t="n">
        <v>2041</v>
      </c>
      <c r="B34" s="19" t="n">
        <f aca="false">Proj_Targets!AL23</f>
        <v>3451.72442292509</v>
      </c>
      <c r="C34" s="19" t="n">
        <f aca="false">Proj_Base!AL23</f>
        <v>684.88418412742</v>
      </c>
      <c r="D34" s="19" t="n">
        <f aca="false">Proj_Conservative!AL23</f>
        <v>132.832149142019</v>
      </c>
      <c r="E34" s="21" t="n">
        <f aca="false">Proj_Targets!AN23</f>
        <v>961441.843948475</v>
      </c>
      <c r="F34" s="21" t="n">
        <f aca="false">Proj_Base!AN23</f>
        <v>190767.347620585</v>
      </c>
      <c r="G34" s="21" t="n">
        <f aca="false">Proj_Conservative!AN23</f>
        <v>36999.0099900607</v>
      </c>
      <c r="H34" s="19" t="n">
        <f aca="false">Projection!AL23</f>
        <v>3451.72442292509</v>
      </c>
      <c r="I34" s="21" t="n">
        <f aca="false">Projection!AN23</f>
        <v>961441.843948475</v>
      </c>
    </row>
    <row r="35" customFormat="false" ht="15" hidden="false" customHeight="false" outlineLevel="0" collapsed="false">
      <c r="A35" s="1" t="n">
        <v>2042</v>
      </c>
      <c r="B35" s="19" t="n">
        <f aca="false">Proj_Targets!AL24</f>
        <v>3429.99195096582</v>
      </c>
      <c r="C35" s="19" t="n">
        <f aca="false">Proj_Base!AL24</f>
        <v>687.220438087511</v>
      </c>
      <c r="D35" s="19" t="n">
        <f aca="false">Proj_Conservative!AL24</f>
        <v>133.775900920645</v>
      </c>
      <c r="E35" s="21" t="n">
        <f aca="false">Proj_Targets!AN24</f>
        <v>955388.490507133</v>
      </c>
      <c r="F35" s="21" t="n">
        <f aca="false">Proj_Base!AN24</f>
        <v>191418.086799067</v>
      </c>
      <c r="G35" s="21" t="n">
        <f aca="false">Proj_Conservative!AN24</f>
        <v>37261.8822066967</v>
      </c>
      <c r="H35" s="19" t="n">
        <f aca="false">Projection!AL24</f>
        <v>3429.99195096582</v>
      </c>
      <c r="I35" s="21" t="n">
        <f aca="false">Projection!AN24</f>
        <v>955388.490507133</v>
      </c>
    </row>
    <row r="36" customFormat="false" ht="15" hidden="false" customHeight="false" outlineLevel="0" collapsed="false">
      <c r="A36" s="1" t="n">
        <v>2043</v>
      </c>
      <c r="B36" s="19" t="n">
        <f aca="false">Proj_Targets!AL25</f>
        <v>3403.0898688723</v>
      </c>
      <c r="C36" s="19" t="n">
        <f aca="false">Proj_Base!AL25</f>
        <v>685.8999809574</v>
      </c>
      <c r="D36" s="19" t="n">
        <f aca="false">Proj_Conservative!AL25</f>
        <v>133.776750225413</v>
      </c>
      <c r="E36" s="21" t="n">
        <f aca="false">Proj_Targets!AN25</f>
        <v>947895.196070804</v>
      </c>
      <c r="F36" s="21" t="n">
        <f aca="false">Proj_Base!AN25</f>
        <v>191050.287235001</v>
      </c>
      <c r="G36" s="21" t="n">
        <f aca="false">Proj_Conservative!AN25</f>
        <v>37262.1187716836</v>
      </c>
      <c r="H36" s="19" t="n">
        <f aca="false">Projection!AL25</f>
        <v>3403.0898688723</v>
      </c>
      <c r="I36" s="21" t="n">
        <f aca="false">Projection!AN25</f>
        <v>947895.196070804</v>
      </c>
    </row>
    <row r="37" customFormat="false" ht="15" hidden="false" customHeight="false" outlineLevel="0" collapsed="false">
      <c r="A37" s="1" t="n">
        <v>2044</v>
      </c>
      <c r="B37" s="19" t="n">
        <f aca="false">Proj_Targets!AL26</f>
        <v>3373.32731327045</v>
      </c>
      <c r="C37" s="19" t="n">
        <f aca="false">Proj_Base!AL26</f>
        <v>681.754976479087</v>
      </c>
      <c r="D37" s="19" t="n">
        <f aca="false">Proj_Conservative!AL26</f>
        <v>133.041018484181</v>
      </c>
      <c r="E37" s="21" t="n">
        <f aca="false">Proj_Targets!AN26</f>
        <v>939605.14656731</v>
      </c>
      <c r="F37" s="21" t="n">
        <f aca="false">Proj_Base!AN26</f>
        <v>189895.739461043</v>
      </c>
      <c r="G37" s="21" t="n">
        <f aca="false">Proj_Conservative!AN26</f>
        <v>37057.1883672621</v>
      </c>
      <c r="H37" s="19" t="n">
        <f aca="false">Projection!AL26</f>
        <v>3373.32731327045</v>
      </c>
      <c r="I37" s="21" t="n">
        <f aca="false">Projection!AN26</f>
        <v>939605.14656731</v>
      </c>
    </row>
    <row r="38" customFormat="false" ht="15" hidden="false" customHeight="false" outlineLevel="0" collapsed="false">
      <c r="A38" s="1" t="n">
        <v>2045</v>
      </c>
      <c r="B38" s="19" t="n">
        <f aca="false">Proj_Targets!AL27</f>
        <v>3340.94458996847</v>
      </c>
      <c r="C38" s="19" t="n">
        <f aca="false">Proj_Base!AL27</f>
        <v>675.565416691124</v>
      </c>
      <c r="D38" s="19" t="n">
        <f aca="false">Proj_Conservative!AL27</f>
        <v>131.763079480318</v>
      </c>
      <c r="E38" s="21" t="n">
        <f aca="false">Proj_Targets!AN27</f>
        <v>930585.276673659</v>
      </c>
      <c r="F38" s="21" t="n">
        <f aca="false">Proj_Base!AN27</f>
        <v>188171.702125894</v>
      </c>
      <c r="G38" s="21" t="n">
        <f aca="false">Proj_Conservative!AN27</f>
        <v>36701.2317838895</v>
      </c>
      <c r="H38" s="19" t="n">
        <f aca="false">Projection!AL27</f>
        <v>3340.94458996847</v>
      </c>
      <c r="I38" s="21" t="n">
        <f aca="false">Projection!AN27</f>
        <v>930585.276673659</v>
      </c>
    </row>
    <row r="39" customFormat="false" ht="15" hidden="false" customHeight="false" outlineLevel="0" collapsed="false">
      <c r="A39" s="1" t="n">
        <v>2046</v>
      </c>
      <c r="B39" s="19" t="n">
        <f aca="false">Proj_Targets!AL28</f>
        <v>3307.02949550668</v>
      </c>
      <c r="C39" s="19" t="n">
        <f aca="false">Proj_Base!AL28</f>
        <v>667.982670232193</v>
      </c>
      <c r="D39" s="19" t="n">
        <f aca="false">Proj_Conservative!AL28</f>
        <v>130.142412023997</v>
      </c>
      <c r="E39" s="21" t="n">
        <f aca="false">Proj_Targets!AN28</f>
        <v>921138.580772774</v>
      </c>
      <c r="F39" s="21" t="n">
        <f aca="false">Proj_Base!AN28</f>
        <v>186059.607171486</v>
      </c>
      <c r="G39" s="21" t="n">
        <f aca="false">Proj_Conservative!AN28</f>
        <v>36249.8117640051</v>
      </c>
      <c r="H39" s="19" t="n">
        <f aca="false">Projection!AL28</f>
        <v>3307.02949550668</v>
      </c>
      <c r="I39" s="21" t="n">
        <f aca="false">Projection!AN28</f>
        <v>921138.580772774</v>
      </c>
    </row>
  </sheetData>
  <mergeCells count="12"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</mergeCells>
  <conditionalFormatting sqref="N10:N15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"LATE"</formula>
    </cfRule>
    <cfRule type="cellIs" priority="4" operator="equal" aboveAverage="0" equalAverage="0" bottom="0" percent="0" rank="0" text="" dxfId="2">
      <formula>"NO"</formula>
    </cfRule>
  </conditionalFormatting>
  <conditionalFormatting sqref="I19:I39">
    <cfRule type="dataBar" priority="5">
      <dataBar showValue="1" minLength="10" maxLength="90">
        <cfvo type="num" val="0"/>
        <cfvo type="max" val="0"/>
        <color rgb="FF63BE7B"/>
      </dataBar>
      <extLst>
        <ext xmlns:x14="http://schemas.microsoft.com/office/spreadsheetml/2009/9/main" uri="{B025F937-C7B1-47D3-B67F-A62EFF666E3E}">
          <x14:id>{1DB049AF-D2C8-4C3C-8B8D-C848213629A0}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B049AF-D2C8-4C3C-8B8D-C848213629A0}">
            <x14:dataBar minLength="10" maxLength="90" axisPosition="none" gradient="true">
              <x14:cfvo type="num">
                <xm:f>0</xm:f>
              </x14:cfvo>
              <x14:cfvo type="max"/>
              <x14:negativeFillColor rgb="FF63BE7B"/>
              <x14:axisColor rgb="FF000000"/>
            </x14:dataBar>
          </x14:cfRule>
          <xm:sqref>I19:I39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1937"/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90"/>
  </cols>
  <sheetData>
    <row r="1" customFormat="false" ht="19.7" hidden="false" customHeight="false" outlineLevel="0" collapsed="false">
      <c r="A1" s="31" t="s">
        <v>69</v>
      </c>
    </row>
    <row r="2" customFormat="false" ht="45" hidden="false" customHeight="true" outlineLevel="0" collapsed="false">
      <c r="A2" s="32" t="s">
        <v>70</v>
      </c>
      <c r="B2" s="32"/>
      <c r="C2" s="32"/>
      <c r="D2" s="32"/>
      <c r="E2" s="32"/>
      <c r="F2" s="32"/>
      <c r="G2" s="32"/>
    </row>
    <row r="4" customFormat="false" ht="16.15" hidden="false" customHeight="false" outlineLevel="0" collapsed="false">
      <c r="A4" s="33" t="s">
        <v>71</v>
      </c>
      <c r="B4" s="34" t="s">
        <v>72</v>
      </c>
    </row>
    <row r="5" customFormat="false" ht="15" hidden="false" customHeight="false" outlineLevel="0" collapsed="false">
      <c r="A5" s="1" t="s">
        <v>73</v>
      </c>
      <c r="B5" s="1" t="n">
        <f aca="false">MATCH(B4,$C$64:$E$64,0)</f>
        <v>1</v>
      </c>
    </row>
    <row r="7" customFormat="false" ht="15" hidden="false" customHeight="false" outlineLevel="0" collapsed="false">
      <c r="A7" s="17" t="s">
        <v>74</v>
      </c>
      <c r="B7" s="17" t="s">
        <v>75</v>
      </c>
      <c r="C7" s="17"/>
      <c r="D7" s="17"/>
      <c r="E7" s="17"/>
      <c r="F7" s="17" t="s">
        <v>76</v>
      </c>
      <c r="G7" s="17" t="s">
        <v>77</v>
      </c>
    </row>
    <row r="8" customFormat="false" ht="15" hidden="false" customHeight="false" outlineLevel="0" collapsed="false">
      <c r="A8" s="35" t="s">
        <v>78</v>
      </c>
      <c r="B8" s="36"/>
      <c r="C8" s="36"/>
      <c r="D8" s="36"/>
      <c r="E8" s="36"/>
      <c r="F8" s="36"/>
      <c r="G8" s="36"/>
    </row>
    <row r="9" customFormat="false" ht="15" hidden="false" customHeight="false" outlineLevel="0" collapsed="false">
      <c r="A9" s="1" t="s">
        <v>79</v>
      </c>
      <c r="B9" s="37" t="n">
        <v>375</v>
      </c>
      <c r="F9" s="1" t="s">
        <v>80</v>
      </c>
      <c r="G9" s="25" t="s">
        <v>81</v>
      </c>
    </row>
    <row r="10" customFormat="false" ht="15" hidden="false" customHeight="false" outlineLevel="0" collapsed="false">
      <c r="A10" s="1" t="s">
        <v>82</v>
      </c>
      <c r="B10" s="38" t="s">
        <v>83</v>
      </c>
      <c r="G10" s="25" t="s">
        <v>84</v>
      </c>
    </row>
    <row r="11" customFormat="false" ht="15" hidden="false" customHeight="false" outlineLevel="0" collapsed="false">
      <c r="A11" s="1" t="s">
        <v>85</v>
      </c>
      <c r="B11" s="39" t="n">
        <v>3.949547394</v>
      </c>
      <c r="F11" s="1" t="s">
        <v>86</v>
      </c>
      <c r="G11" s="25" t="s">
        <v>87</v>
      </c>
    </row>
    <row r="12" customFormat="false" ht="15" hidden="false" customHeight="false" outlineLevel="0" collapsed="false">
      <c r="A12" s="1" t="s">
        <v>88</v>
      </c>
      <c r="B12" s="37" t="n">
        <v>160.57</v>
      </c>
      <c r="F12" s="1" t="s">
        <v>80</v>
      </c>
      <c r="G12" s="25" t="s">
        <v>89</v>
      </c>
    </row>
    <row r="13" customFormat="false" ht="15" hidden="false" customHeight="false" outlineLevel="0" collapsed="false">
      <c r="A13" s="1" t="s">
        <v>90</v>
      </c>
      <c r="B13" s="40" t="n">
        <v>13.57</v>
      </c>
      <c r="F13" s="1" t="s">
        <v>86</v>
      </c>
      <c r="G13" s="25" t="s">
        <v>91</v>
      </c>
    </row>
    <row r="14" customFormat="false" ht="15" hidden="false" customHeight="false" outlineLevel="0" collapsed="false">
      <c r="A14" s="1" t="s">
        <v>92</v>
      </c>
      <c r="B14" s="39" t="n">
        <v>1.3229</v>
      </c>
      <c r="F14" s="1" t="s">
        <v>93</v>
      </c>
      <c r="G14" s="25" t="s">
        <v>94</v>
      </c>
    </row>
    <row r="15" customFormat="false" ht="15" hidden="false" customHeight="false" outlineLevel="0" collapsed="false">
      <c r="A15" s="35" t="s">
        <v>95</v>
      </c>
      <c r="B15" s="36"/>
      <c r="C15" s="36"/>
      <c r="D15" s="36"/>
      <c r="E15" s="36"/>
      <c r="F15" s="36"/>
      <c r="G15" s="36"/>
    </row>
    <row r="16" customFormat="false" ht="15" hidden="false" customHeight="false" outlineLevel="0" collapsed="false">
      <c r="A16" s="1" t="s">
        <v>96</v>
      </c>
      <c r="B16" s="38" t="s">
        <v>97</v>
      </c>
      <c r="F16" s="1" t="s">
        <v>98</v>
      </c>
      <c r="G16" s="25" t="s">
        <v>99</v>
      </c>
    </row>
    <row r="17" customFormat="false" ht="15" hidden="false" customHeight="false" outlineLevel="0" collapsed="false">
      <c r="A17" s="1" t="s">
        <v>100</v>
      </c>
      <c r="B17" s="41" t="n">
        <v>0.025</v>
      </c>
      <c r="F17" s="1" t="s">
        <v>101</v>
      </c>
      <c r="G17" s="25" t="s">
        <v>102</v>
      </c>
    </row>
    <row r="18" customFormat="false" ht="15" hidden="false" customHeight="false" outlineLevel="0" collapsed="false">
      <c r="A18" s="35" t="s">
        <v>103</v>
      </c>
      <c r="B18" s="36"/>
      <c r="C18" s="36"/>
      <c r="D18" s="36"/>
      <c r="E18" s="36"/>
      <c r="F18" s="36"/>
      <c r="G18" s="36"/>
    </row>
    <row r="19" customFormat="false" ht="15" hidden="false" customHeight="false" outlineLevel="0" collapsed="false">
      <c r="A19" s="1" t="s">
        <v>104</v>
      </c>
      <c r="B19" s="38" t="s">
        <v>105</v>
      </c>
      <c r="F19" s="1" t="s">
        <v>98</v>
      </c>
      <c r="G19" s="25" t="s">
        <v>106</v>
      </c>
    </row>
    <row r="20" customFormat="false" ht="15" hidden="false" customHeight="false" outlineLevel="0" collapsed="false">
      <c r="A20" s="1" t="s">
        <v>107</v>
      </c>
      <c r="B20" s="42" t="n">
        <v>2027</v>
      </c>
      <c r="F20" s="1" t="s">
        <v>108</v>
      </c>
      <c r="G20" s="25" t="s">
        <v>109</v>
      </c>
    </row>
    <row r="21" customFormat="false" ht="15" hidden="false" customHeight="false" outlineLevel="0" collapsed="false">
      <c r="A21" s="1" t="s">
        <v>110</v>
      </c>
      <c r="B21" s="38" t="s">
        <v>111</v>
      </c>
      <c r="G21" s="25" t="s">
        <v>112</v>
      </c>
    </row>
    <row r="22" customFormat="false" ht="15" hidden="false" customHeight="false" outlineLevel="0" collapsed="false">
      <c r="A22" s="1" t="s">
        <v>113</v>
      </c>
      <c r="B22" s="41" t="n">
        <v>0</v>
      </c>
      <c r="F22" s="1" t="s">
        <v>114</v>
      </c>
      <c r="G22" s="25" t="s">
        <v>115</v>
      </c>
    </row>
    <row r="23" customFormat="false" ht="15" hidden="false" customHeight="false" outlineLevel="0" collapsed="false">
      <c r="A23" s="1" t="s">
        <v>116</v>
      </c>
      <c r="B23" s="43" t="n">
        <v>3.34</v>
      </c>
      <c r="F23" s="1" t="s">
        <v>117</v>
      </c>
      <c r="G23" s="25" t="s">
        <v>118</v>
      </c>
    </row>
    <row r="24" customFormat="false" ht="15" hidden="false" customHeight="false" outlineLevel="0" collapsed="false">
      <c r="A24" s="35" t="s">
        <v>119</v>
      </c>
      <c r="B24" s="36"/>
      <c r="C24" s="36"/>
      <c r="D24" s="36"/>
      <c r="E24" s="36"/>
      <c r="F24" s="36"/>
      <c r="G24" s="36"/>
    </row>
    <row r="25" customFormat="false" ht="15" hidden="false" customHeight="false" outlineLevel="0" collapsed="false">
      <c r="A25" s="1" t="s">
        <v>120</v>
      </c>
      <c r="B25" s="42" t="n">
        <v>3</v>
      </c>
      <c r="F25" s="1" t="s">
        <v>121</v>
      </c>
      <c r="G25" s="25" t="s">
        <v>122</v>
      </c>
    </row>
    <row r="26" customFormat="false" ht="15" hidden="false" customHeight="false" outlineLevel="0" collapsed="false">
      <c r="A26" s="1" t="s">
        <v>123</v>
      </c>
      <c r="B26" s="42" t="n">
        <v>2038</v>
      </c>
      <c r="F26" s="1" t="s">
        <v>108</v>
      </c>
      <c r="G26" s="25" t="s">
        <v>102</v>
      </c>
    </row>
    <row r="27" customFormat="false" ht="15" hidden="false" customHeight="false" outlineLevel="0" collapsed="false">
      <c r="A27" s="1" t="s">
        <v>124</v>
      </c>
      <c r="B27" s="42" t="n">
        <v>6</v>
      </c>
      <c r="F27" s="1" t="s">
        <v>121</v>
      </c>
      <c r="G27" s="25" t="s">
        <v>102</v>
      </c>
    </row>
    <row r="28" customFormat="false" ht="15" hidden="false" customHeight="false" outlineLevel="0" collapsed="false">
      <c r="A28" s="1" t="s">
        <v>125</v>
      </c>
      <c r="B28" s="44" t="n">
        <v>37.7</v>
      </c>
      <c r="F28" s="1" t="s">
        <v>126</v>
      </c>
      <c r="G28" s="25" t="s">
        <v>127</v>
      </c>
    </row>
    <row r="29" customFormat="false" ht="15" hidden="false" customHeight="false" outlineLevel="0" collapsed="false">
      <c r="A29" s="35" t="s">
        <v>128</v>
      </c>
      <c r="B29" s="36"/>
      <c r="C29" s="36"/>
      <c r="D29" s="36"/>
      <c r="E29" s="36"/>
      <c r="F29" s="36"/>
      <c r="G29" s="36"/>
    </row>
    <row r="30" customFormat="false" ht="15" hidden="false" customHeight="false" outlineLevel="0" collapsed="false">
      <c r="A30" s="1" t="s">
        <v>129</v>
      </c>
      <c r="B30" s="44" t="n">
        <v>1.81</v>
      </c>
      <c r="F30" s="1" t="s">
        <v>130</v>
      </c>
      <c r="G30" s="25" t="s">
        <v>131</v>
      </c>
    </row>
    <row r="31" customFormat="false" ht="15" hidden="false" customHeight="false" outlineLevel="0" collapsed="false">
      <c r="A31" s="1" t="s">
        <v>132</v>
      </c>
      <c r="B31" s="44" t="n">
        <v>8.9</v>
      </c>
      <c r="F31" s="1" t="s">
        <v>130</v>
      </c>
      <c r="G31" s="25" t="s">
        <v>133</v>
      </c>
    </row>
    <row r="32" customFormat="false" ht="15" hidden="false" customHeight="false" outlineLevel="0" collapsed="false">
      <c r="A32" s="1" t="s">
        <v>134</v>
      </c>
      <c r="B32" s="44" t="n">
        <v>41.5</v>
      </c>
      <c r="F32" s="1" t="s">
        <v>135</v>
      </c>
      <c r="G32" s="25" t="s">
        <v>136</v>
      </c>
    </row>
    <row r="33" customFormat="false" ht="15" hidden="false" customHeight="false" outlineLevel="0" collapsed="false">
      <c r="A33" s="1" t="s">
        <v>137</v>
      </c>
      <c r="B33" s="41" t="n">
        <v>0.12</v>
      </c>
      <c r="F33" s="1" t="s">
        <v>114</v>
      </c>
      <c r="G33" s="25" t="s">
        <v>138</v>
      </c>
    </row>
    <row r="34" customFormat="false" ht="15" hidden="false" customHeight="false" outlineLevel="0" collapsed="false">
      <c r="A34" s="1" t="s">
        <v>139</v>
      </c>
      <c r="B34" s="44" t="n">
        <v>1.6</v>
      </c>
      <c r="F34" s="1" t="s">
        <v>130</v>
      </c>
      <c r="G34" s="25" t="s">
        <v>140</v>
      </c>
    </row>
    <row r="35" customFormat="false" ht="15" hidden="false" customHeight="false" outlineLevel="0" collapsed="false">
      <c r="A35" s="1" t="s">
        <v>141</v>
      </c>
      <c r="B35" s="43" t="n">
        <v>0.002</v>
      </c>
      <c r="F35" s="1" t="s">
        <v>130</v>
      </c>
      <c r="G35" s="25" t="s">
        <v>142</v>
      </c>
    </row>
    <row r="36" customFormat="false" ht="15" hidden="false" customHeight="false" outlineLevel="0" collapsed="false">
      <c r="A36" s="1" t="s">
        <v>143</v>
      </c>
      <c r="B36" s="37" t="n">
        <v>1.5</v>
      </c>
      <c r="F36" s="1" t="s">
        <v>144</v>
      </c>
      <c r="G36" s="25" t="s">
        <v>145</v>
      </c>
    </row>
    <row r="37" customFormat="false" ht="15" hidden="false" customHeight="false" outlineLevel="0" collapsed="false">
      <c r="A37" s="1" t="s">
        <v>146</v>
      </c>
      <c r="B37" s="41" t="n">
        <v>0.05</v>
      </c>
      <c r="F37" s="1" t="s">
        <v>114</v>
      </c>
      <c r="G37" s="25" t="s">
        <v>102</v>
      </c>
    </row>
    <row r="38" customFormat="false" ht="15" hidden="false" customHeight="false" outlineLevel="0" collapsed="false">
      <c r="A38" s="1" t="s">
        <v>147</v>
      </c>
      <c r="B38" s="41" t="n">
        <v>0.2</v>
      </c>
      <c r="F38" s="1" t="s">
        <v>114</v>
      </c>
      <c r="G38" s="25" t="s">
        <v>102</v>
      </c>
    </row>
    <row r="39" customFormat="false" ht="15" hidden="false" customHeight="false" outlineLevel="0" collapsed="false">
      <c r="A39" s="1" t="s">
        <v>148</v>
      </c>
      <c r="B39" s="43" t="n">
        <v>0.005</v>
      </c>
      <c r="F39" s="1" t="s">
        <v>130</v>
      </c>
      <c r="G39" s="25" t="s">
        <v>149</v>
      </c>
    </row>
    <row r="40" customFormat="false" ht="15" hidden="false" customHeight="false" outlineLevel="0" collapsed="false">
      <c r="A40" s="1" t="s">
        <v>150</v>
      </c>
      <c r="B40" s="44" t="n">
        <v>50</v>
      </c>
      <c r="F40" s="1" t="s">
        <v>135</v>
      </c>
      <c r="G40" s="25" t="s">
        <v>102</v>
      </c>
    </row>
    <row r="41" customFormat="false" ht="15" hidden="false" customHeight="false" outlineLevel="0" collapsed="false">
      <c r="A41" s="1" t="s">
        <v>151</v>
      </c>
      <c r="B41" s="41" t="n">
        <v>0.08</v>
      </c>
      <c r="F41" s="1" t="s">
        <v>114</v>
      </c>
      <c r="G41" s="25" t="s">
        <v>102</v>
      </c>
    </row>
    <row r="42" customFormat="false" ht="15" hidden="false" customHeight="false" outlineLevel="0" collapsed="false">
      <c r="A42" s="1" t="s">
        <v>152</v>
      </c>
      <c r="B42" s="41" t="n">
        <v>-1</v>
      </c>
      <c r="F42" s="1" t="s">
        <v>114</v>
      </c>
      <c r="G42" s="25" t="s">
        <v>102</v>
      </c>
    </row>
    <row r="43" customFormat="false" ht="15" hidden="false" customHeight="false" outlineLevel="0" collapsed="false">
      <c r="A43" s="1" t="s">
        <v>153</v>
      </c>
      <c r="B43" s="44" t="n">
        <v>52</v>
      </c>
      <c r="F43" s="1" t="s">
        <v>154</v>
      </c>
      <c r="G43" s="25" t="s">
        <v>155</v>
      </c>
    </row>
    <row r="44" customFormat="false" ht="15" hidden="false" customHeight="false" outlineLevel="0" collapsed="false">
      <c r="A44" s="1" t="s">
        <v>156</v>
      </c>
      <c r="B44" s="45" t="n">
        <v>245</v>
      </c>
      <c r="F44" s="1" t="s">
        <v>157</v>
      </c>
      <c r="G44" s="25" t="s">
        <v>158</v>
      </c>
    </row>
    <row r="45" customFormat="false" ht="15" hidden="false" customHeight="false" outlineLevel="0" collapsed="false">
      <c r="A45" s="1" t="s">
        <v>159</v>
      </c>
      <c r="B45" s="41" t="n">
        <v>0.04</v>
      </c>
      <c r="F45" s="1" t="s">
        <v>114</v>
      </c>
      <c r="G45" s="25" t="s">
        <v>102</v>
      </c>
    </row>
    <row r="46" customFormat="false" ht="15" hidden="false" customHeight="false" outlineLevel="0" collapsed="false">
      <c r="A46" s="1" t="s">
        <v>160</v>
      </c>
      <c r="B46" s="41" t="n">
        <v>0.2</v>
      </c>
      <c r="F46" s="1" t="s">
        <v>114</v>
      </c>
      <c r="G46" s="25" t="s">
        <v>161</v>
      </c>
    </row>
    <row r="47" customFormat="false" ht="15" hidden="false" customHeight="false" outlineLevel="0" collapsed="false">
      <c r="A47" s="1" t="s">
        <v>162</v>
      </c>
      <c r="B47" s="44" t="n">
        <v>17.5</v>
      </c>
      <c r="F47" s="1" t="s">
        <v>126</v>
      </c>
      <c r="G47" s="25" t="s">
        <v>163</v>
      </c>
    </row>
    <row r="48" customFormat="false" ht="15" hidden="false" customHeight="false" outlineLevel="0" collapsed="false">
      <c r="A48" s="1" t="s">
        <v>164</v>
      </c>
      <c r="B48" s="40" t="n">
        <v>0.93</v>
      </c>
      <c r="F48" s="1" t="s">
        <v>117</v>
      </c>
      <c r="G48" s="25" t="s">
        <v>102</v>
      </c>
    </row>
    <row r="49" customFormat="false" ht="15" hidden="false" customHeight="false" outlineLevel="0" collapsed="false">
      <c r="A49" s="1" t="s">
        <v>165</v>
      </c>
      <c r="B49" s="41" t="n">
        <v>0.02</v>
      </c>
      <c r="F49" s="1" t="s">
        <v>166</v>
      </c>
      <c r="G49" s="25" t="s">
        <v>102</v>
      </c>
    </row>
    <row r="50" customFormat="false" ht="15" hidden="false" customHeight="false" outlineLevel="0" collapsed="false">
      <c r="A50" s="1" t="s">
        <v>167</v>
      </c>
      <c r="B50" s="41" t="n">
        <v>0.07</v>
      </c>
      <c r="F50" s="1" t="s">
        <v>166</v>
      </c>
      <c r="G50" s="25" t="s">
        <v>168</v>
      </c>
    </row>
    <row r="51" customFormat="false" ht="15" hidden="false" customHeight="false" outlineLevel="0" collapsed="false">
      <c r="A51" s="1" t="s">
        <v>169</v>
      </c>
      <c r="B51" s="41" t="n">
        <v>0.03</v>
      </c>
      <c r="F51" s="1" t="s">
        <v>166</v>
      </c>
      <c r="G51" s="25" t="s">
        <v>102</v>
      </c>
    </row>
    <row r="52" customFormat="false" ht="15" hidden="false" customHeight="false" outlineLevel="0" collapsed="false">
      <c r="A52" s="1" t="s">
        <v>170</v>
      </c>
      <c r="B52" s="41" t="n">
        <v>0.21</v>
      </c>
      <c r="F52" s="1" t="s">
        <v>114</v>
      </c>
      <c r="G52" s="25" t="s">
        <v>171</v>
      </c>
    </row>
    <row r="53" customFormat="false" ht="15" hidden="false" customHeight="false" outlineLevel="0" collapsed="false">
      <c r="A53" s="1" t="s">
        <v>172</v>
      </c>
      <c r="B53" s="44" t="n">
        <v>32</v>
      </c>
      <c r="F53" s="1" t="s">
        <v>126</v>
      </c>
      <c r="G53" s="25" t="s">
        <v>173</v>
      </c>
    </row>
    <row r="54" customFormat="false" ht="15" hidden="false" customHeight="false" outlineLevel="0" collapsed="false">
      <c r="A54" s="1" t="s">
        <v>174</v>
      </c>
      <c r="B54" s="41" t="n">
        <v>0.35</v>
      </c>
      <c r="F54" s="1" t="s">
        <v>114</v>
      </c>
      <c r="G54" s="25" t="s">
        <v>175</v>
      </c>
    </row>
    <row r="55" customFormat="false" ht="15" hidden="false" customHeight="false" outlineLevel="0" collapsed="false">
      <c r="A55" s="35" t="s">
        <v>176</v>
      </c>
      <c r="B55" s="36"/>
      <c r="C55" s="36"/>
      <c r="D55" s="36"/>
      <c r="E55" s="36"/>
      <c r="F55" s="36"/>
      <c r="G55" s="36"/>
    </row>
    <row r="56" customFormat="false" ht="15" hidden="false" customHeight="false" outlineLevel="0" collapsed="false">
      <c r="A56" s="1" t="s">
        <v>177</v>
      </c>
      <c r="B56" s="46" t="n">
        <v>8500</v>
      </c>
      <c r="F56" s="1" t="s">
        <v>126</v>
      </c>
      <c r="G56" s="25" t="s">
        <v>178</v>
      </c>
    </row>
    <row r="57" customFormat="false" ht="15" hidden="false" customHeight="false" outlineLevel="0" collapsed="false">
      <c r="A57" s="1" t="s">
        <v>179</v>
      </c>
      <c r="B57" s="44" t="n">
        <v>20</v>
      </c>
      <c r="F57" s="1" t="s">
        <v>130</v>
      </c>
      <c r="G57" s="25" t="s">
        <v>180</v>
      </c>
    </row>
    <row r="58" customFormat="false" ht="15" hidden="false" customHeight="false" outlineLevel="0" collapsed="false">
      <c r="A58" s="1" t="s">
        <v>181</v>
      </c>
      <c r="B58" s="44" t="n">
        <v>10</v>
      </c>
      <c r="F58" s="1" t="s">
        <v>130</v>
      </c>
      <c r="G58" s="25" t="s">
        <v>182</v>
      </c>
    </row>
    <row r="59" customFormat="false" ht="15" hidden="false" customHeight="false" outlineLevel="0" collapsed="false">
      <c r="A59" s="1" t="s">
        <v>183</v>
      </c>
      <c r="B59" s="44" t="n">
        <v>1</v>
      </c>
      <c r="F59" s="1" t="s">
        <v>130</v>
      </c>
      <c r="G59" s="25" t="s">
        <v>182</v>
      </c>
    </row>
    <row r="60" customFormat="false" ht="15" hidden="false" customHeight="false" outlineLevel="0" collapsed="false">
      <c r="A60" s="1" t="s">
        <v>184</v>
      </c>
      <c r="B60" s="44" t="n">
        <v>1</v>
      </c>
      <c r="F60" s="1" t="s">
        <v>130</v>
      </c>
      <c r="G60" s="25" t="s">
        <v>182</v>
      </c>
    </row>
    <row r="61" customFormat="false" ht="15" hidden="false" customHeight="false" outlineLevel="0" collapsed="false">
      <c r="A61" s="1" t="s">
        <v>185</v>
      </c>
      <c r="B61" s="46" t="n">
        <v>400</v>
      </c>
      <c r="F61" s="1" t="s">
        <v>126</v>
      </c>
      <c r="G61" s="25" t="s">
        <v>186</v>
      </c>
    </row>
    <row r="62" customFormat="false" ht="15" hidden="false" customHeight="false" outlineLevel="0" collapsed="false">
      <c r="A62" s="1" t="s">
        <v>187</v>
      </c>
      <c r="B62" s="42" t="n">
        <v>2035</v>
      </c>
      <c r="F62" s="1" t="s">
        <v>108</v>
      </c>
      <c r="G62" s="25" t="s">
        <v>188</v>
      </c>
    </row>
    <row r="64" customFormat="false" ht="28.35" hidden="false" customHeight="false" outlineLevel="0" collapsed="false">
      <c r="A64" s="17" t="s">
        <v>189</v>
      </c>
      <c r="B64" s="17" t="str">
        <f aca="false">B4</f>
        <v>Tesla hits all targets</v>
      </c>
      <c r="C64" s="17" t="s">
        <v>72</v>
      </c>
      <c r="D64" s="17" t="s">
        <v>190</v>
      </c>
      <c r="E64" s="17" t="s">
        <v>191</v>
      </c>
      <c r="F64" s="17" t="s">
        <v>76</v>
      </c>
      <c r="G64" s="17" t="s">
        <v>192</v>
      </c>
    </row>
    <row r="65" customFormat="false" ht="15" hidden="false" customHeight="false" outlineLevel="0" collapsed="false">
      <c r="A65" s="35" t="s">
        <v>193</v>
      </c>
      <c r="B65" s="36"/>
      <c r="C65" s="36"/>
      <c r="D65" s="36"/>
      <c r="E65" s="36"/>
      <c r="F65" s="36"/>
      <c r="G65" s="36"/>
    </row>
    <row r="66" customFormat="false" ht="15" hidden="false" customHeight="false" outlineLevel="0" collapsed="false">
      <c r="A66" s="1" t="s">
        <v>194</v>
      </c>
      <c r="B66" s="47" t="n">
        <f aca="false">INDEX(C66:E66,$B$5)</f>
        <v>20</v>
      </c>
      <c r="C66" s="44" t="n">
        <v>20</v>
      </c>
      <c r="D66" s="44" t="n">
        <v>6</v>
      </c>
      <c r="E66" s="44" t="n">
        <v>3</v>
      </c>
      <c r="F66" s="1" t="s">
        <v>195</v>
      </c>
      <c r="G66" s="25" t="s">
        <v>196</v>
      </c>
    </row>
    <row r="67" customFormat="false" ht="15" hidden="false" customHeight="false" outlineLevel="0" collapsed="false">
      <c r="A67" s="1" t="s">
        <v>197</v>
      </c>
      <c r="B67" s="48" t="n">
        <f aca="false">INDEX(C67:E67,$B$5)</f>
        <v>2035</v>
      </c>
      <c r="C67" s="42" t="n">
        <v>2035</v>
      </c>
      <c r="D67" s="42" t="n">
        <v>2035</v>
      </c>
      <c r="E67" s="42" t="n">
        <v>2035</v>
      </c>
      <c r="F67" s="1" t="s">
        <v>108</v>
      </c>
      <c r="G67" s="25" t="s">
        <v>102</v>
      </c>
    </row>
    <row r="68" customFormat="false" ht="15" hidden="false" customHeight="false" outlineLevel="0" collapsed="false">
      <c r="A68" s="1" t="s">
        <v>198</v>
      </c>
      <c r="B68" s="49" t="n">
        <f aca="false">INDEX(C68:E68,$B$5)</f>
        <v>0.4</v>
      </c>
      <c r="C68" s="40" t="n">
        <v>0.4</v>
      </c>
      <c r="D68" s="40" t="n">
        <v>0.3</v>
      </c>
      <c r="E68" s="40" t="n">
        <v>0.3</v>
      </c>
      <c r="G68" s="25" t="s">
        <v>102</v>
      </c>
    </row>
    <row r="69" customFormat="false" ht="15" hidden="false" customHeight="false" outlineLevel="0" collapsed="false">
      <c r="A69" s="1" t="s">
        <v>199</v>
      </c>
      <c r="B69" s="50" t="n">
        <f aca="false">INDEX(C69:E69,$B$5)</f>
        <v>-0.02</v>
      </c>
      <c r="C69" s="41" t="n">
        <v>-0.02</v>
      </c>
      <c r="D69" s="41" t="n">
        <v>-0.015</v>
      </c>
      <c r="E69" s="41" t="n">
        <v>-0.01</v>
      </c>
      <c r="F69" s="1" t="s">
        <v>114</v>
      </c>
      <c r="G69" s="25" t="s">
        <v>200</v>
      </c>
    </row>
    <row r="70" customFormat="false" ht="15" hidden="false" customHeight="false" outlineLevel="0" collapsed="false">
      <c r="A70" s="1" t="s">
        <v>201</v>
      </c>
      <c r="B70" s="47" t="n">
        <f aca="false">INDEX(C70:E70,$B$5)</f>
        <v>30</v>
      </c>
      <c r="C70" s="44" t="n">
        <v>30</v>
      </c>
      <c r="D70" s="44" t="n">
        <v>32</v>
      </c>
      <c r="E70" s="44" t="n">
        <v>34</v>
      </c>
      <c r="F70" s="1" t="s">
        <v>135</v>
      </c>
      <c r="G70" s="25" t="s">
        <v>102</v>
      </c>
    </row>
    <row r="71" customFormat="false" ht="15" hidden="false" customHeight="false" outlineLevel="0" collapsed="false">
      <c r="A71" s="1" t="s">
        <v>202</v>
      </c>
      <c r="B71" s="50" t="n">
        <f aca="false">INDEX(C71:E71,$B$5)</f>
        <v>0.18</v>
      </c>
      <c r="C71" s="41" t="n">
        <v>0.18</v>
      </c>
      <c r="D71" s="41" t="n">
        <v>0.14</v>
      </c>
      <c r="E71" s="41" t="n">
        <v>0.11</v>
      </c>
      <c r="F71" s="1" t="s">
        <v>114</v>
      </c>
      <c r="G71" s="25" t="s">
        <v>102</v>
      </c>
    </row>
    <row r="72" customFormat="false" ht="15" hidden="false" customHeight="false" outlineLevel="0" collapsed="false">
      <c r="A72" s="35" t="s">
        <v>203</v>
      </c>
      <c r="B72" s="36"/>
      <c r="C72" s="36"/>
      <c r="D72" s="36"/>
      <c r="E72" s="36"/>
      <c r="F72" s="36"/>
      <c r="G72" s="36"/>
    </row>
    <row r="73" customFormat="false" ht="15" hidden="false" customHeight="false" outlineLevel="0" collapsed="false">
      <c r="A73" s="1" t="s">
        <v>204</v>
      </c>
      <c r="B73" s="47" t="n">
        <f aca="false">INDEX(C73:E73,$B$5)</f>
        <v>50</v>
      </c>
      <c r="C73" s="44" t="n">
        <v>50</v>
      </c>
      <c r="D73" s="44" t="n">
        <v>25</v>
      </c>
      <c r="E73" s="44" t="n">
        <v>10</v>
      </c>
      <c r="F73" s="1" t="s">
        <v>130</v>
      </c>
      <c r="G73" s="25" t="s">
        <v>205</v>
      </c>
    </row>
    <row r="74" customFormat="false" ht="15" hidden="false" customHeight="false" outlineLevel="0" collapsed="false">
      <c r="A74" s="1" t="s">
        <v>206</v>
      </c>
      <c r="B74" s="48" t="n">
        <f aca="false">INDEX(C74:E74,$B$5)</f>
        <v>2034</v>
      </c>
      <c r="C74" s="42" t="n">
        <v>2034</v>
      </c>
      <c r="D74" s="42" t="n">
        <v>2036</v>
      </c>
      <c r="E74" s="42" t="n">
        <v>2037</v>
      </c>
      <c r="F74" s="1" t="s">
        <v>108</v>
      </c>
      <c r="G74" s="25" t="s">
        <v>102</v>
      </c>
    </row>
    <row r="75" customFormat="false" ht="15" hidden="false" customHeight="false" outlineLevel="0" collapsed="false">
      <c r="A75" s="1" t="s">
        <v>207</v>
      </c>
      <c r="B75" s="49" t="n">
        <f aca="false">INDEX(C75:E75,$B$5)</f>
        <v>0.45</v>
      </c>
      <c r="C75" s="40" t="n">
        <v>0.45</v>
      </c>
      <c r="D75" s="40" t="n">
        <v>0.35</v>
      </c>
      <c r="E75" s="40" t="n">
        <v>0.3</v>
      </c>
      <c r="G75" s="25" t="s">
        <v>102</v>
      </c>
    </row>
    <row r="76" customFormat="false" ht="15" hidden="false" customHeight="false" outlineLevel="0" collapsed="false">
      <c r="A76" s="1" t="s">
        <v>208</v>
      </c>
      <c r="B76" s="51" t="n">
        <f aca="false">INDEX(C76:E76,$B$5)</f>
        <v>100</v>
      </c>
      <c r="C76" s="45" t="n">
        <v>100</v>
      </c>
      <c r="D76" s="45" t="n">
        <v>80</v>
      </c>
      <c r="E76" s="45" t="n">
        <v>60</v>
      </c>
      <c r="F76" s="1" t="s">
        <v>209</v>
      </c>
      <c r="G76" s="25" t="s">
        <v>210</v>
      </c>
    </row>
    <row r="77" customFormat="false" ht="15" hidden="false" customHeight="false" outlineLevel="0" collapsed="false">
      <c r="A77" s="1" t="s">
        <v>211</v>
      </c>
      <c r="B77" s="50" t="n">
        <f aca="false">INDEX(C77:E77,$B$5)</f>
        <v>0.8</v>
      </c>
      <c r="C77" s="41" t="n">
        <v>0.8</v>
      </c>
      <c r="D77" s="41" t="n">
        <v>0.75</v>
      </c>
      <c r="E77" s="41" t="n">
        <v>0.7</v>
      </c>
      <c r="F77" s="1" t="s">
        <v>114</v>
      </c>
      <c r="G77" s="25" t="s">
        <v>212</v>
      </c>
    </row>
    <row r="78" customFormat="false" ht="15" hidden="false" customHeight="false" outlineLevel="0" collapsed="false">
      <c r="A78" s="35" t="s">
        <v>213</v>
      </c>
      <c r="B78" s="36"/>
      <c r="C78" s="36"/>
      <c r="D78" s="36"/>
      <c r="E78" s="36"/>
      <c r="F78" s="36"/>
      <c r="G78" s="36"/>
    </row>
    <row r="79" customFormat="false" ht="15" hidden="false" customHeight="false" outlineLevel="0" collapsed="false">
      <c r="A79" s="1" t="s">
        <v>214</v>
      </c>
      <c r="B79" s="47" t="n">
        <f aca="false">INDEX(C79:E79,$B$5)</f>
        <v>16</v>
      </c>
      <c r="C79" s="44" t="n">
        <v>16</v>
      </c>
      <c r="D79" s="44" t="n">
        <v>5</v>
      </c>
      <c r="E79" s="44" t="n">
        <v>1</v>
      </c>
      <c r="F79" s="1" t="s">
        <v>215</v>
      </c>
      <c r="G79" s="25" t="s">
        <v>216</v>
      </c>
    </row>
    <row r="80" customFormat="false" ht="15" hidden="false" customHeight="false" outlineLevel="0" collapsed="false">
      <c r="A80" s="1" t="s">
        <v>217</v>
      </c>
      <c r="B80" s="48" t="n">
        <f aca="false">INDEX(C80:E80,$B$5)</f>
        <v>2034</v>
      </c>
      <c r="C80" s="42" t="n">
        <v>2034</v>
      </c>
      <c r="D80" s="42" t="n">
        <v>2037</v>
      </c>
      <c r="E80" s="42" t="n">
        <v>2039</v>
      </c>
      <c r="F80" s="1" t="s">
        <v>108</v>
      </c>
      <c r="G80" s="25" t="s">
        <v>102</v>
      </c>
    </row>
    <row r="81" customFormat="false" ht="15" hidden="false" customHeight="false" outlineLevel="0" collapsed="false">
      <c r="A81" s="1" t="s">
        <v>218</v>
      </c>
      <c r="B81" s="49" t="n">
        <f aca="false">INDEX(C81:E81,$B$5)</f>
        <v>0.5</v>
      </c>
      <c r="C81" s="40" t="n">
        <v>0.5</v>
      </c>
      <c r="D81" s="40" t="n">
        <v>0.4</v>
      </c>
      <c r="E81" s="40" t="n">
        <v>0.35</v>
      </c>
      <c r="G81" s="25" t="s">
        <v>102</v>
      </c>
    </row>
    <row r="82" customFormat="false" ht="15" hidden="false" customHeight="false" outlineLevel="0" collapsed="false">
      <c r="A82" s="1" t="s">
        <v>219</v>
      </c>
      <c r="B82" s="47" t="n">
        <f aca="false">INDEX(C82:E82,$B$5)</f>
        <v>60</v>
      </c>
      <c r="C82" s="44" t="n">
        <v>60</v>
      </c>
      <c r="D82" s="44" t="n">
        <v>50</v>
      </c>
      <c r="E82" s="44" t="n">
        <v>40</v>
      </c>
      <c r="F82" s="1" t="s">
        <v>220</v>
      </c>
      <c r="G82" s="25" t="s">
        <v>102</v>
      </c>
    </row>
    <row r="83" customFormat="false" ht="15" hidden="false" customHeight="false" outlineLevel="0" collapsed="false">
      <c r="A83" s="1" t="s">
        <v>221</v>
      </c>
      <c r="B83" s="52" t="n">
        <f aca="false">INDEX(C83:E83,$B$5)</f>
        <v>1</v>
      </c>
      <c r="C83" s="37" t="n">
        <v>1</v>
      </c>
      <c r="D83" s="37" t="n">
        <v>1</v>
      </c>
      <c r="E83" s="37" t="n">
        <v>1.1</v>
      </c>
      <c r="F83" s="1" t="s">
        <v>144</v>
      </c>
      <c r="G83" s="25" t="s">
        <v>222</v>
      </c>
    </row>
    <row r="84" customFormat="false" ht="15" hidden="false" customHeight="false" outlineLevel="0" collapsed="false">
      <c r="A84" s="1" t="s">
        <v>223</v>
      </c>
      <c r="B84" s="50" t="n">
        <f aca="false">INDEX(C84:E84,$B$5)</f>
        <v>0.6</v>
      </c>
      <c r="C84" s="41" t="n">
        <v>0.6</v>
      </c>
      <c r="D84" s="41" t="n">
        <v>0.5</v>
      </c>
      <c r="E84" s="41" t="n">
        <v>0.4</v>
      </c>
      <c r="F84" s="1" t="s">
        <v>114</v>
      </c>
      <c r="G84" s="25" t="s">
        <v>102</v>
      </c>
    </row>
    <row r="85" customFormat="false" ht="15" hidden="false" customHeight="false" outlineLevel="0" collapsed="false">
      <c r="A85" s="35" t="s">
        <v>224</v>
      </c>
      <c r="B85" s="36"/>
      <c r="C85" s="36"/>
      <c r="D85" s="36"/>
      <c r="E85" s="36"/>
      <c r="F85" s="36"/>
      <c r="G85" s="36"/>
    </row>
    <row r="86" customFormat="false" ht="15" hidden="false" customHeight="false" outlineLevel="0" collapsed="false">
      <c r="A86" s="1" t="s">
        <v>225</v>
      </c>
      <c r="B86" s="47" t="n">
        <f aca="false">INDEX(C86:E86,$B$5)</f>
        <v>12</v>
      </c>
      <c r="C86" s="44" t="n">
        <v>12</v>
      </c>
      <c r="D86" s="44" t="n">
        <v>3</v>
      </c>
      <c r="E86" s="44" t="n">
        <v>0.5</v>
      </c>
      <c r="F86" s="1" t="s">
        <v>195</v>
      </c>
      <c r="G86" s="25" t="s">
        <v>226</v>
      </c>
    </row>
    <row r="87" customFormat="false" ht="15" hidden="false" customHeight="false" outlineLevel="0" collapsed="false">
      <c r="A87" s="1" t="s">
        <v>227</v>
      </c>
      <c r="B87" s="48" t="n">
        <f aca="false">INDEX(C87:E87,$B$5)</f>
        <v>2036</v>
      </c>
      <c r="C87" s="42" t="n">
        <v>2036</v>
      </c>
      <c r="D87" s="42" t="n">
        <v>2039</v>
      </c>
      <c r="E87" s="42" t="n">
        <v>2040</v>
      </c>
      <c r="F87" s="1" t="s">
        <v>108</v>
      </c>
      <c r="G87" s="25" t="s">
        <v>102</v>
      </c>
    </row>
    <row r="88" customFormat="false" ht="15" hidden="false" customHeight="false" outlineLevel="0" collapsed="false">
      <c r="A88" s="1" t="s">
        <v>228</v>
      </c>
      <c r="B88" s="49" t="n">
        <f aca="false">INDEX(C88:E88,$B$5)</f>
        <v>0.5</v>
      </c>
      <c r="C88" s="40" t="n">
        <v>0.5</v>
      </c>
      <c r="D88" s="40" t="n">
        <v>0.4</v>
      </c>
      <c r="E88" s="40" t="n">
        <v>0.35</v>
      </c>
      <c r="G88" s="25" t="s">
        <v>102</v>
      </c>
    </row>
    <row r="89" customFormat="false" ht="15" hidden="false" customHeight="false" outlineLevel="0" collapsed="false">
      <c r="A89" s="1" t="s">
        <v>229</v>
      </c>
      <c r="B89" s="47" t="n">
        <f aca="false">INDEX(C89:E89,$B$5)</f>
        <v>20</v>
      </c>
      <c r="C89" s="44" t="n">
        <v>20</v>
      </c>
      <c r="D89" s="44" t="n">
        <v>25</v>
      </c>
      <c r="E89" s="44" t="n">
        <v>30</v>
      </c>
      <c r="F89" s="1" t="s">
        <v>135</v>
      </c>
      <c r="G89" s="25" t="s">
        <v>230</v>
      </c>
    </row>
    <row r="90" customFormat="false" ht="15" hidden="false" customHeight="false" outlineLevel="0" collapsed="false">
      <c r="A90" s="1" t="s">
        <v>231</v>
      </c>
      <c r="B90" s="50" t="n">
        <f aca="false">INDEX(C90:E90,$B$5)</f>
        <v>0.4</v>
      </c>
      <c r="C90" s="41" t="n">
        <v>0.4</v>
      </c>
      <c r="D90" s="41" t="n">
        <v>0.3</v>
      </c>
      <c r="E90" s="41" t="n">
        <v>0.2</v>
      </c>
      <c r="F90" s="1" t="s">
        <v>114</v>
      </c>
      <c r="G90" s="25" t="s">
        <v>102</v>
      </c>
    </row>
    <row r="91" customFormat="false" ht="15" hidden="false" customHeight="false" outlineLevel="0" collapsed="false">
      <c r="A91" s="35" t="s">
        <v>232</v>
      </c>
      <c r="B91" s="36"/>
      <c r="C91" s="36"/>
      <c r="D91" s="36"/>
      <c r="E91" s="36"/>
      <c r="F91" s="36"/>
      <c r="G91" s="36"/>
    </row>
    <row r="92" customFormat="false" ht="15" hidden="false" customHeight="false" outlineLevel="0" collapsed="false">
      <c r="A92" s="1" t="s">
        <v>233</v>
      </c>
      <c r="B92" s="53" t="n">
        <f aca="false">INDEX(C92:E92,$B$5)</f>
        <v>1500</v>
      </c>
      <c r="C92" s="46" t="n">
        <v>1500</v>
      </c>
      <c r="D92" s="46" t="n">
        <v>600</v>
      </c>
      <c r="E92" s="46" t="n">
        <v>200</v>
      </c>
      <c r="F92" s="1" t="s">
        <v>234</v>
      </c>
      <c r="G92" s="25" t="s">
        <v>235</v>
      </c>
    </row>
    <row r="93" customFormat="false" ht="15" hidden="false" customHeight="false" outlineLevel="0" collapsed="false">
      <c r="A93" s="1" t="s">
        <v>236</v>
      </c>
      <c r="B93" s="48" t="n">
        <f aca="false">INDEX(C93:E93,$B$5)</f>
        <v>2035</v>
      </c>
      <c r="C93" s="42" t="n">
        <v>2035</v>
      </c>
      <c r="D93" s="42" t="n">
        <v>2035</v>
      </c>
      <c r="E93" s="42" t="n">
        <v>2035</v>
      </c>
      <c r="F93" s="1" t="s">
        <v>108</v>
      </c>
      <c r="G93" s="25" t="s">
        <v>102</v>
      </c>
    </row>
    <row r="94" customFormat="false" ht="15" hidden="false" customHeight="false" outlineLevel="0" collapsed="false">
      <c r="A94" s="1" t="s">
        <v>237</v>
      </c>
      <c r="B94" s="49" t="n">
        <f aca="false">INDEX(C94:E94,$B$5)</f>
        <v>0.35</v>
      </c>
      <c r="C94" s="40" t="n">
        <v>0.35</v>
      </c>
      <c r="D94" s="40" t="n">
        <v>0.3</v>
      </c>
      <c r="E94" s="40" t="n">
        <v>0.25</v>
      </c>
      <c r="G94" s="25" t="s">
        <v>102</v>
      </c>
    </row>
    <row r="95" customFormat="false" ht="15" hidden="false" customHeight="false" outlineLevel="0" collapsed="false">
      <c r="A95" s="1" t="s">
        <v>238</v>
      </c>
      <c r="B95" s="51" t="n">
        <f aca="false">INDEX(C95:E95,$B$5)</f>
        <v>120</v>
      </c>
      <c r="C95" s="45" t="n">
        <v>120</v>
      </c>
      <c r="D95" s="45" t="n">
        <v>130</v>
      </c>
      <c r="E95" s="45" t="n">
        <v>140</v>
      </c>
      <c r="F95" s="1" t="s">
        <v>157</v>
      </c>
      <c r="G95" s="25" t="s">
        <v>102</v>
      </c>
    </row>
    <row r="96" customFormat="false" ht="15" hidden="false" customHeight="false" outlineLevel="0" collapsed="false">
      <c r="A96" s="1" t="s">
        <v>239</v>
      </c>
      <c r="B96" s="50" t="n">
        <f aca="false">INDEX(C96:E96,$B$5)</f>
        <v>0.25</v>
      </c>
      <c r="C96" s="41" t="n">
        <v>0.25</v>
      </c>
      <c r="D96" s="41" t="n">
        <v>0.22</v>
      </c>
      <c r="E96" s="41" t="n">
        <v>0.18</v>
      </c>
      <c r="F96" s="1" t="s">
        <v>114</v>
      </c>
      <c r="G96" s="25" t="s">
        <v>240</v>
      </c>
    </row>
    <row r="97" customFormat="false" ht="15" hidden="false" customHeight="false" outlineLevel="0" collapsed="false">
      <c r="A97" s="35" t="s">
        <v>241</v>
      </c>
      <c r="B97" s="36"/>
      <c r="C97" s="36"/>
      <c r="D97" s="36"/>
      <c r="E97" s="36"/>
      <c r="F97" s="36"/>
      <c r="G97" s="36"/>
    </row>
    <row r="98" customFormat="false" ht="15" hidden="false" customHeight="false" outlineLevel="0" collapsed="false">
      <c r="A98" s="1" t="s">
        <v>242</v>
      </c>
      <c r="B98" s="50" t="n">
        <f aca="false">INDEX(C98:E98,$B$5)</f>
        <v>0.15</v>
      </c>
      <c r="C98" s="41" t="n">
        <v>0.15</v>
      </c>
      <c r="D98" s="41" t="n">
        <v>0.1</v>
      </c>
      <c r="E98" s="41" t="n">
        <v>0.06</v>
      </c>
      <c r="F98" s="1" t="s">
        <v>114</v>
      </c>
      <c r="G98" s="25" t="s">
        <v>102</v>
      </c>
    </row>
    <row r="99" customFormat="false" ht="15" hidden="false" customHeight="false" outlineLevel="0" collapsed="false">
      <c r="A99" s="1" t="s">
        <v>243</v>
      </c>
      <c r="B99" s="50" t="n">
        <f aca="false">INDEX(C99:E99,$B$5)</f>
        <v>0.15</v>
      </c>
      <c r="C99" s="41" t="n">
        <v>0.15</v>
      </c>
      <c r="D99" s="41" t="n">
        <v>0.13</v>
      </c>
      <c r="E99" s="41" t="n">
        <v>0.12</v>
      </c>
      <c r="F99" s="1" t="s">
        <v>114</v>
      </c>
      <c r="G99" s="25" t="s">
        <v>102</v>
      </c>
    </row>
    <row r="100" customFormat="false" ht="15" hidden="false" customHeight="false" outlineLevel="0" collapsed="false">
      <c r="A100" s="1" t="s">
        <v>244</v>
      </c>
      <c r="B100" s="54" t="n">
        <f aca="false">INDEX(C100:E100,$B$5)</f>
        <v>40</v>
      </c>
      <c r="C100" s="55" t="n">
        <v>40</v>
      </c>
      <c r="D100" s="55" t="n">
        <v>30</v>
      </c>
      <c r="E100" s="55" t="n">
        <v>22</v>
      </c>
      <c r="F100" s="1" t="s">
        <v>117</v>
      </c>
      <c r="G100" s="25" t="s">
        <v>102</v>
      </c>
    </row>
    <row r="101" customFormat="false" ht="15" hidden="false" customHeight="false" outlineLevel="0" collapsed="false">
      <c r="A101" s="1" t="s">
        <v>245</v>
      </c>
      <c r="B101" s="54" t="n">
        <f aca="false">INDEX(C101:E101,$B$5)</f>
        <v>20</v>
      </c>
      <c r="C101" s="55" t="n">
        <v>20</v>
      </c>
      <c r="D101" s="55" t="n">
        <v>15</v>
      </c>
      <c r="E101" s="55" t="n">
        <v>12</v>
      </c>
      <c r="F101" s="1" t="s">
        <v>117</v>
      </c>
      <c r="G101" s="25" t="s">
        <v>102</v>
      </c>
    </row>
    <row r="102" customFormat="false" ht="15" hidden="false" customHeight="false" outlineLevel="0" collapsed="false">
      <c r="A102" s="1" t="s">
        <v>246</v>
      </c>
      <c r="B102" s="50" t="n">
        <f aca="false">INDEX(C102:E102,$B$5)</f>
        <v>0.005</v>
      </c>
      <c r="C102" s="41" t="n">
        <v>0.005</v>
      </c>
      <c r="D102" s="41" t="n">
        <v>0.01</v>
      </c>
      <c r="E102" s="41" t="n">
        <v>0.015</v>
      </c>
      <c r="F102" s="1" t="s">
        <v>114</v>
      </c>
      <c r="G102" s="25" t="s">
        <v>102</v>
      </c>
    </row>
    <row r="103" customFormat="false" ht="15" hidden="false" customHeight="false" outlineLevel="0" collapsed="false">
      <c r="A103" s="35" t="s">
        <v>247</v>
      </c>
      <c r="B103" s="36"/>
      <c r="C103" s="36"/>
      <c r="D103" s="36"/>
      <c r="E103" s="36"/>
      <c r="F103" s="36"/>
      <c r="G103" s="36"/>
    </row>
    <row r="104" customFormat="false" ht="15" hidden="false" customHeight="false" outlineLevel="0" collapsed="false">
      <c r="A104" s="1" t="s">
        <v>248</v>
      </c>
      <c r="B104" s="53" t="n">
        <f aca="false">INDEX(C104:E104,$B$5)</f>
        <v>2200</v>
      </c>
      <c r="C104" s="46" t="n">
        <v>2200</v>
      </c>
      <c r="D104" s="46" t="n">
        <v>1000</v>
      </c>
      <c r="E104" s="46" t="n">
        <v>400</v>
      </c>
      <c r="F104" s="1" t="s">
        <v>249</v>
      </c>
      <c r="G104" s="25" t="s">
        <v>250</v>
      </c>
    </row>
    <row r="105" customFormat="false" ht="15" hidden="false" customHeight="false" outlineLevel="0" collapsed="false">
      <c r="A105" s="1" t="s">
        <v>251</v>
      </c>
      <c r="B105" s="48" t="n">
        <f aca="false">INDEX(C105:E105,$B$5)</f>
        <v>2030</v>
      </c>
      <c r="C105" s="42" t="n">
        <v>2030</v>
      </c>
      <c r="D105" s="42" t="n">
        <v>2033</v>
      </c>
      <c r="E105" s="42" t="n">
        <v>2035</v>
      </c>
      <c r="F105" s="1" t="s">
        <v>108</v>
      </c>
      <c r="G105" s="25" t="s">
        <v>102</v>
      </c>
    </row>
    <row r="106" customFormat="false" ht="15" hidden="false" customHeight="false" outlineLevel="0" collapsed="false">
      <c r="A106" s="1" t="s">
        <v>252</v>
      </c>
      <c r="B106" s="49" t="n">
        <f aca="false">INDEX(C106:E106,$B$5)</f>
        <v>0.6</v>
      </c>
      <c r="C106" s="40" t="n">
        <v>0.6</v>
      </c>
      <c r="D106" s="40" t="n">
        <v>0.4</v>
      </c>
      <c r="E106" s="40" t="n">
        <v>0.35</v>
      </c>
      <c r="G106" s="25" t="s">
        <v>102</v>
      </c>
    </row>
    <row r="107" customFormat="false" ht="15" hidden="false" customHeight="false" outlineLevel="0" collapsed="false">
      <c r="A107" s="1" t="s">
        <v>253</v>
      </c>
      <c r="B107" s="50" t="n">
        <f aca="false">INDEX(C107:E107,$B$5)</f>
        <v>0.45</v>
      </c>
      <c r="C107" s="41" t="n">
        <v>0.45</v>
      </c>
      <c r="D107" s="41" t="n">
        <v>0.4</v>
      </c>
      <c r="E107" s="41" t="n">
        <v>0.3</v>
      </c>
      <c r="F107" s="1" t="s">
        <v>114</v>
      </c>
      <c r="G107" s="25" t="s">
        <v>254</v>
      </c>
    </row>
    <row r="108" customFormat="false" ht="15" hidden="false" customHeight="false" outlineLevel="0" collapsed="false">
      <c r="A108" s="1" t="s">
        <v>255</v>
      </c>
      <c r="B108" s="50" t="n">
        <f aca="false">INDEX(C108:E108,$B$5)</f>
        <v>0.015</v>
      </c>
      <c r="C108" s="41" t="n">
        <v>0.015</v>
      </c>
      <c r="D108" s="41" t="n">
        <v>0.02</v>
      </c>
      <c r="E108" s="41" t="n">
        <v>0.025</v>
      </c>
      <c r="F108" s="1" t="s">
        <v>114</v>
      </c>
      <c r="G108" s="25" t="s">
        <v>256</v>
      </c>
    </row>
    <row r="109" customFormat="false" ht="15" hidden="false" customHeight="false" outlineLevel="0" collapsed="false">
      <c r="A109" s="1" t="s">
        <v>257</v>
      </c>
      <c r="B109" s="50" t="n">
        <f aca="false">INDEX(C109:E109,$B$5)</f>
        <v>0.1</v>
      </c>
      <c r="C109" s="41" t="n">
        <v>0.1</v>
      </c>
      <c r="D109" s="41" t="n">
        <v>0</v>
      </c>
      <c r="E109" s="41" t="n">
        <v>0</v>
      </c>
      <c r="F109" s="1" t="s">
        <v>114</v>
      </c>
      <c r="G109" s="25" t="s">
        <v>258</v>
      </c>
    </row>
    <row r="111" customFormat="false" ht="15" hidden="false" customHeight="false" outlineLevel="0" collapsed="false">
      <c r="A111" s="25" t="s">
        <v>259</v>
      </c>
    </row>
    <row r="112" customFormat="false" ht="15" hidden="false" customHeight="false" outlineLevel="0" collapsed="false">
      <c r="A112" s="25" t="s">
        <v>260</v>
      </c>
    </row>
  </sheetData>
  <mergeCells count="1">
    <mergeCell ref="A2:G2"/>
  </mergeCells>
  <conditionalFormatting sqref="C65:E109">
    <cfRule type="expression" priority="2" aboveAverage="0" equalAverage="0" bottom="0" percent="0" rank="0" text="" dxfId="3">
      <formula>C$64=$B$4</formula>
    </cfRule>
  </conditionalFormatting>
  <dataValidations count="3">
    <dataValidation allowBlank="false" errorStyle="stop" operator="between" showDropDown="false" showErrorMessage="true" showInputMessage="false" sqref="B4" type="list">
      <formula1>"Tesla hits all targets,Base,Conservative"</formula1>
      <formula2>0</formula2>
    </dataValidation>
    <dataValidation allowBlank="false" errorStyle="stop" operator="between" showDropDown="false" showErrorMessage="true" showInputMessage="false" sqref="B16 B19" type="list">
      <formula1>"Yes,No"</formula1>
      <formula2>0</formula2>
    </dataValidation>
    <dataValidation allowBlank="false" errorStyle="stop" operator="between" showDropDown="false" showErrorMessage="true" showInputMessage="false" sqref="B21" type="list">
      <formula1>"Today's market prices,Projected prices in merger year,Manual"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26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9" min="8" style="1" width="13"/>
    <col collapsed="false" customWidth="true" hidden="false" outlineLevel="0" max="10" min="10" style="1" width="9"/>
    <col collapsed="false" customWidth="true" hidden="false" outlineLevel="0" max="11" min="11" style="1" width="13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22"/>
  </cols>
  <sheetData>
    <row r="1" customFormat="false" ht="19.7" hidden="false" customHeight="false" outlineLevel="0" collapsed="false">
      <c r="A1" s="31" t="s">
        <v>261</v>
      </c>
    </row>
    <row r="2" customFormat="false" ht="15" hidden="false" customHeight="false" outlineLevel="0" collapsed="false">
      <c r="A2" s="25" t="s">
        <v>262</v>
      </c>
    </row>
    <row r="4" customFormat="false" ht="28.35" hidden="false" customHeight="false" outlineLevel="0" collapsed="false">
      <c r="A4" s="17" t="s">
        <v>263</v>
      </c>
      <c r="B4" s="17" t="s">
        <v>264</v>
      </c>
      <c r="C4" s="17" t="s">
        <v>265</v>
      </c>
      <c r="D4" s="17" t="s">
        <v>266</v>
      </c>
      <c r="E4" s="17" t="s">
        <v>267</v>
      </c>
      <c r="F4" s="17" t="s">
        <v>268</v>
      </c>
      <c r="G4" s="17" t="s">
        <v>269</v>
      </c>
      <c r="H4" s="17" t="s">
        <v>270</v>
      </c>
      <c r="I4" s="17" t="s">
        <v>271</v>
      </c>
      <c r="J4" s="17" t="s">
        <v>27</v>
      </c>
      <c r="K4" s="17" t="s">
        <v>272</v>
      </c>
      <c r="L4" s="17" t="s">
        <v>273</v>
      </c>
      <c r="M4" s="17" t="s">
        <v>274</v>
      </c>
      <c r="N4" s="17" t="s">
        <v>275</v>
      </c>
      <c r="O4" s="17" t="s">
        <v>276</v>
      </c>
    </row>
    <row r="5" customFormat="false" ht="15" hidden="false" customHeight="false" outlineLevel="0" collapsed="false">
      <c r="A5" s="23" t="s">
        <v>277</v>
      </c>
      <c r="B5" s="23" t="s">
        <v>278</v>
      </c>
      <c r="C5" s="23" t="s">
        <v>279</v>
      </c>
      <c r="D5" s="56" t="n">
        <v>276.44</v>
      </c>
      <c r="E5" s="37" t="n">
        <v>237.11</v>
      </c>
      <c r="F5" s="57" t="n">
        <f aca="false">D5*E5</f>
        <v>65546.6884</v>
      </c>
      <c r="G5" s="57" t="n">
        <f aca="false">Inputs!$B$9</f>
        <v>375</v>
      </c>
      <c r="H5" s="57" t="n">
        <f aca="false">D5*G5</f>
        <v>103665</v>
      </c>
      <c r="I5" s="57" t="n">
        <f aca="false">H5-F5</f>
        <v>38118.3116</v>
      </c>
      <c r="J5" s="58" t="n">
        <f aca="false">IFERROR(I5/F5,0)</f>
        <v>0.581544430854878</v>
      </c>
      <c r="K5" s="59" t="n">
        <f aca="false">H5/Inputs!$B$14</f>
        <v>78361.9321188299</v>
      </c>
      <c r="L5" s="59" t="n">
        <f aca="false">F5/Inputs!$B$14</f>
        <v>49547.7272658553</v>
      </c>
      <c r="M5" s="60"/>
      <c r="N5" s="59" t="n">
        <f aca="false">K5-IF(M5="",L5,M5)</f>
        <v>28814.2048529745</v>
      </c>
      <c r="O5" s="23" t="s">
        <v>280</v>
      </c>
    </row>
    <row r="6" customFormat="false" ht="15" hidden="false" customHeight="false" outlineLevel="0" collapsed="false">
      <c r="A6" s="23" t="s">
        <v>277</v>
      </c>
      <c r="B6" s="23" t="s">
        <v>281</v>
      </c>
      <c r="C6" s="23" t="s">
        <v>282</v>
      </c>
      <c r="D6" s="56" t="n">
        <v>0</v>
      </c>
      <c r="E6" s="37" t="n">
        <v>336.41</v>
      </c>
      <c r="F6" s="57" t="n">
        <f aca="false">D6*E6</f>
        <v>0</v>
      </c>
      <c r="G6" s="57" t="n">
        <f aca="false">Inputs!$B$9</f>
        <v>375</v>
      </c>
      <c r="H6" s="57" t="n">
        <f aca="false">D6*G6</f>
        <v>0</v>
      </c>
      <c r="I6" s="57" t="n">
        <f aca="false">H6-F6</f>
        <v>0</v>
      </c>
      <c r="J6" s="58" t="n">
        <f aca="false">IFERROR(I6/F6,0)</f>
        <v>0</v>
      </c>
      <c r="K6" s="59" t="n">
        <f aca="false">H6/Inputs!$B$14</f>
        <v>0</v>
      </c>
      <c r="L6" s="59" t="n">
        <f aca="false">F6/Inputs!$B$14</f>
        <v>0</v>
      </c>
      <c r="M6" s="60"/>
      <c r="N6" s="59" t="n">
        <f aca="false">K6-IF(M6="",L6,M6)</f>
        <v>0</v>
      </c>
      <c r="O6" s="23" t="s">
        <v>283</v>
      </c>
    </row>
    <row r="7" customFormat="false" ht="15" hidden="false" customHeight="false" outlineLevel="0" collapsed="false">
      <c r="A7" s="23" t="s">
        <v>277</v>
      </c>
      <c r="B7" s="23" t="s">
        <v>281</v>
      </c>
      <c r="C7" s="23" t="s">
        <v>279</v>
      </c>
      <c r="D7" s="56" t="n">
        <v>92.04</v>
      </c>
      <c r="E7" s="37" t="n">
        <v>280.65</v>
      </c>
      <c r="F7" s="57" t="n">
        <f aca="false">D7*E7</f>
        <v>25831.026</v>
      </c>
      <c r="G7" s="57" t="n">
        <f aca="false">Inputs!$B$9</f>
        <v>375</v>
      </c>
      <c r="H7" s="57" t="n">
        <f aca="false">D7*G7</f>
        <v>34515</v>
      </c>
      <c r="I7" s="57" t="n">
        <f aca="false">H7-F7</f>
        <v>8683.974</v>
      </c>
      <c r="J7" s="58" t="n">
        <f aca="false">IFERROR(I7/F7,0)</f>
        <v>0.336183858898985</v>
      </c>
      <c r="K7" s="59" t="n">
        <f aca="false">H7/Inputs!$B$14</f>
        <v>26090.4074382039</v>
      </c>
      <c r="L7" s="59" t="n">
        <f aca="false">F7/Inputs!$B$14</f>
        <v>19526.0609267518</v>
      </c>
      <c r="M7" s="60"/>
      <c r="N7" s="59" t="n">
        <f aca="false">K7-IF(M7="",L7,M7)</f>
        <v>6564.34651145211</v>
      </c>
      <c r="O7" s="23" t="s">
        <v>284</v>
      </c>
    </row>
    <row r="8" customFormat="false" ht="15" hidden="false" customHeight="false" outlineLevel="0" collapsed="false">
      <c r="A8" s="23" t="s">
        <v>285</v>
      </c>
      <c r="B8" s="23" t="s">
        <v>278</v>
      </c>
      <c r="C8" s="23" t="s">
        <v>279</v>
      </c>
      <c r="D8" s="56" t="n">
        <v>109.6</v>
      </c>
      <c r="E8" s="37" t="n">
        <v>349.29</v>
      </c>
      <c r="F8" s="57" t="n">
        <f aca="false">D8*E8</f>
        <v>38282.184</v>
      </c>
      <c r="G8" s="57" t="n">
        <f aca="false">Inputs!$B$9</f>
        <v>375</v>
      </c>
      <c r="H8" s="57" t="n">
        <f aca="false">D8*G8</f>
        <v>41100</v>
      </c>
      <c r="I8" s="57" t="n">
        <f aca="false">H8-F8</f>
        <v>2817.816</v>
      </c>
      <c r="J8" s="58" t="n">
        <f aca="false">IFERROR(I8/F8,0)</f>
        <v>0.0736064588164562</v>
      </c>
      <c r="K8" s="59" t="n">
        <f aca="false">H8/Inputs!$B$14</f>
        <v>31068.107944667</v>
      </c>
      <c r="L8" s="59" t="n">
        <f aca="false">F8/Inputs!$B$14</f>
        <v>28938.0784639807</v>
      </c>
      <c r="M8" s="60"/>
      <c r="N8" s="59" t="n">
        <f aca="false">K8-IF(M8="",L8,M8)</f>
        <v>2130.02948068637</v>
      </c>
      <c r="O8" s="23" t="s">
        <v>286</v>
      </c>
    </row>
    <row r="9" customFormat="false" ht="15" hidden="false" customHeight="false" outlineLevel="0" collapsed="false">
      <c r="A9" s="23" t="s">
        <v>285</v>
      </c>
      <c r="B9" s="23" t="s">
        <v>281</v>
      </c>
      <c r="C9" s="23" t="s">
        <v>287</v>
      </c>
      <c r="D9" s="56" t="n">
        <v>6</v>
      </c>
      <c r="E9" s="37" t="n">
        <v>443</v>
      </c>
      <c r="F9" s="57" t="n">
        <f aca="false">D9*E9</f>
        <v>2658</v>
      </c>
      <c r="G9" s="57" t="n">
        <f aca="false">Inputs!$B$9</f>
        <v>375</v>
      </c>
      <c r="H9" s="57" t="n">
        <f aca="false">D9*G9</f>
        <v>2250</v>
      </c>
      <c r="I9" s="57" t="n">
        <f aca="false">H9-F9</f>
        <v>-408</v>
      </c>
      <c r="J9" s="58" t="n">
        <f aca="false">IFERROR(I9/F9,0)</f>
        <v>-0.153498871331828</v>
      </c>
      <c r="K9" s="59" t="n">
        <f aca="false">H9/Inputs!$B$14</f>
        <v>1700.80882908761</v>
      </c>
      <c r="L9" s="59" t="n">
        <f aca="false">F9/Inputs!$B$14</f>
        <v>2009.22216342883</v>
      </c>
      <c r="M9" s="60"/>
      <c r="N9" s="59" t="n">
        <f aca="false">K9-IF(M9="",L9,M9)</f>
        <v>-308.41333434122</v>
      </c>
      <c r="O9" s="23" t="s">
        <v>288</v>
      </c>
    </row>
    <row r="11" customFormat="false" ht="15" hidden="false" customHeight="false" outlineLevel="0" collapsed="false">
      <c r="A11" s="61" t="s">
        <v>289</v>
      </c>
      <c r="B11" s="61"/>
      <c r="C11" s="61"/>
      <c r="D11" s="62" t="n">
        <f aca="false">SUM(D5:D7)</f>
        <v>368.48</v>
      </c>
      <c r="E11" s="63" t="n">
        <f aca="false">IFERROR(F11/D11,0)</f>
        <v>247.985547112462</v>
      </c>
      <c r="F11" s="63" t="n">
        <f aca="false">SUM(F5:F7)</f>
        <v>91377.7144</v>
      </c>
      <c r="G11" s="63" t="n">
        <f aca="false">Inputs!$B$9</f>
        <v>375</v>
      </c>
      <c r="H11" s="63" t="n">
        <f aca="false">SUM(H5:H7)</f>
        <v>138180</v>
      </c>
      <c r="I11" s="63" t="n">
        <f aca="false">SUM(I5:I7)</f>
        <v>46802.2856</v>
      </c>
      <c r="J11" s="64" t="n">
        <f aca="false">IFERROR(I11/F11,0)</f>
        <v>0.512184900960928</v>
      </c>
      <c r="K11" s="65" t="n">
        <f aca="false">SUM(K5:K7)</f>
        <v>104452.339557034</v>
      </c>
      <c r="L11" s="65" t="n">
        <f aca="false">SUM(L5:L7)</f>
        <v>69073.7881926072</v>
      </c>
      <c r="M11" s="65"/>
      <c r="N11" s="65" t="n">
        <f aca="false">SUM(N5:N7)</f>
        <v>35378.5513644267</v>
      </c>
    </row>
    <row r="12" customFormat="false" ht="15" hidden="false" customHeight="false" outlineLevel="0" collapsed="false">
      <c r="A12" s="61" t="s">
        <v>290</v>
      </c>
      <c r="B12" s="61"/>
      <c r="C12" s="61"/>
      <c r="D12" s="62" t="n">
        <f aca="false">SUM(D8:D9)</f>
        <v>115.6</v>
      </c>
      <c r="E12" s="63" t="n">
        <f aca="false">IFERROR(F12/D12,0)</f>
        <v>354.15384083045</v>
      </c>
      <c r="F12" s="63" t="n">
        <f aca="false">SUM(F8:F9)</f>
        <v>40940.184</v>
      </c>
      <c r="G12" s="63" t="n">
        <f aca="false">Inputs!$B$9</f>
        <v>375</v>
      </c>
      <c r="H12" s="63" t="n">
        <f aca="false">SUM(H8:H9)</f>
        <v>43350</v>
      </c>
      <c r="I12" s="63" t="n">
        <f aca="false">SUM(I8:I9)</f>
        <v>2409.816</v>
      </c>
      <c r="J12" s="64" t="n">
        <f aca="false">IFERROR(I12/F12,0)</f>
        <v>0.0588618751689049</v>
      </c>
      <c r="K12" s="65" t="n">
        <f aca="false">SUM(K8:K9)</f>
        <v>32768.9167737546</v>
      </c>
      <c r="L12" s="65" t="n">
        <f aca="false">SUM(L8:L9)</f>
        <v>30947.3006274095</v>
      </c>
      <c r="M12" s="65"/>
      <c r="N12" s="65" t="n">
        <f aca="false">SUM(N8:N9)</f>
        <v>1821.61614634515</v>
      </c>
    </row>
    <row r="13" customFormat="false" ht="15" hidden="false" customHeight="false" outlineLevel="0" collapsed="false">
      <c r="A13" s="61" t="s">
        <v>291</v>
      </c>
      <c r="B13" s="61"/>
      <c r="C13" s="61"/>
      <c r="D13" s="62" t="n">
        <f aca="false">D11+D12</f>
        <v>484.08</v>
      </c>
      <c r="E13" s="63" t="n">
        <f aca="false">IFERROR(F13/D13,0)</f>
        <v>273.338907618575</v>
      </c>
      <c r="F13" s="63" t="n">
        <f aca="false">F11+F12</f>
        <v>132317.8984</v>
      </c>
      <c r="G13" s="63" t="n">
        <f aca="false">Inputs!$B$9</f>
        <v>375</v>
      </c>
      <c r="H13" s="63" t="n">
        <f aca="false">H11+H12</f>
        <v>181530</v>
      </c>
      <c r="I13" s="63" t="n">
        <f aca="false">I11+I12</f>
        <v>49212.1016</v>
      </c>
      <c r="J13" s="64" t="n">
        <f aca="false">IFERROR(I13/F13,0)</f>
        <v>0.371923240884848</v>
      </c>
      <c r="K13" s="65" t="n">
        <f aca="false">K11+K12</f>
        <v>137221.256330788</v>
      </c>
      <c r="L13" s="65" t="n">
        <f aca="false">L11+L12</f>
        <v>100021.088820017</v>
      </c>
      <c r="M13" s="65"/>
      <c r="N13" s="65" t="n">
        <f aca="false">N11+N12</f>
        <v>37200.1675107718</v>
      </c>
    </row>
    <row r="15" customFormat="false" ht="15" hidden="false" customHeight="false" outlineLevel="0" collapsed="false">
      <c r="A15" s="4" t="s">
        <v>292</v>
      </c>
      <c r="D15" s="66" t="n">
        <f aca="false">D11+IF(Inputs!$B$16="Yes",D12,0)</f>
        <v>368.48</v>
      </c>
      <c r="E15" s="1" t="str">
        <f aca="false">IF(Inputs!$B$16="Yes","Colin + Caroline","Colin only")</f>
        <v>Colin only</v>
      </c>
    </row>
    <row r="16" customFormat="false" ht="15" hidden="false" customHeight="false" outlineLevel="0" collapsed="false">
      <c r="A16" s="1" t="s">
        <v>293</v>
      </c>
      <c r="D16" s="67" t="n">
        <f aca="false">IF(Inputs!$B$16="Yes",E13,E11)</f>
        <v>247.985547112462</v>
      </c>
    </row>
    <row r="17" customFormat="false" ht="15" hidden="false" customHeight="false" outlineLevel="0" collapsed="false">
      <c r="A17" s="1" t="s">
        <v>294</v>
      </c>
      <c r="D17" s="67" t="n">
        <f aca="false">IF(Inputs!$B$16="Yes",F13,F11)</f>
        <v>91377.7144</v>
      </c>
    </row>
    <row r="18" customFormat="false" ht="15" hidden="false" customHeight="false" outlineLevel="0" collapsed="false">
      <c r="A18" s="1" t="s">
        <v>295</v>
      </c>
      <c r="D18" s="68" t="n">
        <f aca="false">D15/Inputs!$B$14</f>
        <v>278.53957215209</v>
      </c>
    </row>
    <row r="20" customFormat="false" ht="15" hidden="false" customHeight="false" outlineLevel="0" collapsed="false">
      <c r="A20" s="4" t="s">
        <v>296</v>
      </c>
    </row>
    <row r="21" customFormat="false" ht="15" hidden="false" customHeight="false" outlineLevel="0" collapsed="false">
      <c r="A21" s="1" t="s">
        <v>297</v>
      </c>
    </row>
    <row r="22" customFormat="false" ht="15" hidden="false" customHeight="false" outlineLevel="0" collapsed="false">
      <c r="A22" s="1" t="s">
        <v>298</v>
      </c>
    </row>
    <row r="23" customFormat="false" ht="15" hidden="false" customHeight="false" outlineLevel="0" collapsed="false">
      <c r="A23" s="1" t="s">
        <v>299</v>
      </c>
    </row>
    <row r="24" customFormat="false" ht="15" hidden="false" customHeight="false" outlineLevel="0" collapsed="false">
      <c r="A24" s="1" t="s">
        <v>300</v>
      </c>
    </row>
  </sheetData>
  <conditionalFormatting sqref="I5:J13">
    <cfRule type="cellIs" priority="2" operator="lessThan" aboveAverage="0" equalAverage="0" bottom="0" percent="0" rank="0" text="" dxfId="4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N5:N13">
    <cfRule type="cellIs" priority="4" operator="lessThan" aboveAverage="0" equalAverage="0" bottom="0" percent="0" rank="0" text="" dxfId="5">
      <formula>0</formula>
    </cfRule>
    <cfRule type="cellIs" priority="5" operator="greaterThan" aboveAverage="0" equalAverage="0" bottom="0" percent="0" rank="0" text="" dxfId="6">
      <formula>0</formula>
    </cfRule>
  </conditionalFormatting>
  <conditionalFormatting sqref="K5:K9">
    <cfRule type="dataBar" priority="6">
      <dataBar showValue="1" minLength="10" maxLength="90">
        <cfvo type="num" val="0"/>
        <cfvo type="max" val="0"/>
        <color rgb="FF5B9BD5"/>
      </dataBar>
      <extLst>
        <ext xmlns:x14="http://schemas.microsoft.com/office/spreadsheetml/2009/9/main" uri="{B025F937-C7B1-47D3-B67F-A62EFF666E3E}">
          <x14:id>{D562CB64-B0A6-40D1-9FC1-D290D56B692F}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62CB64-B0A6-40D1-9FC1-D290D56B692F}">
            <x14:dataBar minLength="10" maxLength="90" axisPosition="none" gradient="true">
              <x14:cfvo type="num">
                <xm:f>0</xm:f>
              </x14:cfvo>
              <x14:cfvo type="max"/>
              <x14:negativeFillColor rgb="FF5B9BD5"/>
              <x14:axisColor rgb="FF000000"/>
            </x14:dataBar>
          </x14:cfRule>
          <xm:sqref>K5:K9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42" min="1" style="1" width="12"/>
  </cols>
  <sheetData>
    <row r="1" customFormat="false" ht="19.7" hidden="false" customHeight="false" outlineLevel="0" collapsed="false">
      <c r="A1" s="31" t="s">
        <v>301</v>
      </c>
    </row>
    <row r="2" customFormat="false" ht="15" hidden="false" customHeight="false" outlineLevel="0" collapsed="false">
      <c r="A2" s="1" t="s">
        <v>302</v>
      </c>
      <c r="B2" s="69" t="n">
        <f aca="false">Inputs!$B$5</f>
        <v>1</v>
      </c>
      <c r="C2" s="70" t="str">
        <f aca="false">INDEX(Inputs!$C$64:$E$64,$B$2)</f>
        <v>Tesla hits all targets</v>
      </c>
    </row>
    <row r="3" customFormat="false" ht="15" hidden="false" customHeight="false" outlineLevel="0" collapsed="false">
      <c r="A3" s="25" t="s">
        <v>303</v>
      </c>
    </row>
    <row r="4" customFormat="false" ht="15" hidden="false" customHeight="false" outlineLevel="0" collapsed="false">
      <c r="A4" s="1" t="s">
        <v>304</v>
      </c>
      <c r="B4" s="71" t="n">
        <f aca="false">IF(Inputs!$B$21="Manual",Inputs!$B$23,IF(Inputs!$B$21="Projected prices in merger year",INDEX($AB$8:$AB$28,MATCH($B$5,$A$8:$A$28,0))/INDEX($AG$8:$AG$28,MATCH($B$5,$A$8:$A$28,0)),Inputs!$B$9/Inputs!$B$12)*(1+Inputs!$B$22))</f>
        <v>2.33543003051629</v>
      </c>
    </row>
    <row r="5" customFormat="false" ht="15" hidden="false" customHeight="false" outlineLevel="0" collapsed="false">
      <c r="A5" s="1" t="s">
        <v>305</v>
      </c>
      <c r="B5" s="72" t="n">
        <f aca="false">Inputs!$B$20</f>
        <v>2027</v>
      </c>
    </row>
    <row r="7" customFormat="false" ht="60" hidden="false" customHeight="true" outlineLevel="0" collapsed="false">
      <c r="A7" s="17" t="s">
        <v>31</v>
      </c>
      <c r="B7" s="17" t="s">
        <v>306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312</v>
      </c>
      <c r="I7" s="17" t="s">
        <v>313</v>
      </c>
      <c r="J7" s="17" t="s">
        <v>314</v>
      </c>
      <c r="K7" s="17" t="s">
        <v>315</v>
      </c>
      <c r="L7" s="17" t="s">
        <v>316</v>
      </c>
      <c r="M7" s="17" t="s">
        <v>317</v>
      </c>
      <c r="N7" s="17" t="s">
        <v>318</v>
      </c>
      <c r="O7" s="17" t="s">
        <v>319</v>
      </c>
      <c r="P7" s="17" t="s">
        <v>320</v>
      </c>
      <c r="Q7" s="17" t="s">
        <v>321</v>
      </c>
      <c r="R7" s="17" t="s">
        <v>322</v>
      </c>
      <c r="S7" s="17" t="s">
        <v>323</v>
      </c>
      <c r="T7" s="17" t="s">
        <v>324</v>
      </c>
      <c r="U7" s="17" t="s">
        <v>325</v>
      </c>
      <c r="V7" s="17" t="s">
        <v>326</v>
      </c>
      <c r="W7" s="17" t="s">
        <v>327</v>
      </c>
      <c r="X7" s="17" t="s">
        <v>328</v>
      </c>
      <c r="Y7" s="17" t="s">
        <v>329</v>
      </c>
      <c r="Z7" s="17" t="s">
        <v>330</v>
      </c>
      <c r="AA7" s="17" t="s">
        <v>331</v>
      </c>
      <c r="AB7" s="17" t="s">
        <v>332</v>
      </c>
      <c r="AC7" s="17" t="s">
        <v>333</v>
      </c>
      <c r="AD7" s="17" t="s">
        <v>334</v>
      </c>
      <c r="AE7" s="17" t="s">
        <v>335</v>
      </c>
      <c r="AF7" s="17" t="s">
        <v>336</v>
      </c>
      <c r="AG7" s="17" t="s">
        <v>337</v>
      </c>
      <c r="AH7" s="17" t="s">
        <v>338</v>
      </c>
      <c r="AI7" s="17" t="s">
        <v>339</v>
      </c>
      <c r="AJ7" s="17" t="s">
        <v>340</v>
      </c>
      <c r="AK7" s="17" t="s">
        <v>341</v>
      </c>
      <c r="AL7" s="17" t="s">
        <v>342</v>
      </c>
      <c r="AM7" s="17" t="s">
        <v>34</v>
      </c>
      <c r="AN7" s="17" t="s">
        <v>35</v>
      </c>
      <c r="AO7" s="17" t="s">
        <v>343</v>
      </c>
      <c r="AP7" s="17" t="s">
        <v>344</v>
      </c>
    </row>
    <row r="8" customFormat="false" ht="15" hidden="false" customHeight="false" outlineLevel="0" collapsed="false">
      <c r="A8" s="73" t="n">
        <v>2026</v>
      </c>
      <c r="B8" s="73" t="n">
        <f aca="false">A8-2026</f>
        <v>0</v>
      </c>
      <c r="C8" s="74" t="n">
        <f aca="false">MIN(1,B8/Inputs!$B$27)</f>
        <v>0</v>
      </c>
      <c r="D8" s="75" t="n">
        <f aca="false">Inputs!$B$30+($B$33-Inputs!$B$30)*((1/(1+EXP(-$B$35*($A8-$B$34))))-(1/(1+EXP(-$B$35*(2026-$B$34)))))/(1-(1/(1+EXP(-$B$35*(2026-$B$34)))))</f>
        <v>1.81</v>
      </c>
      <c r="E8" s="76" t="n">
        <f aca="false">Inputs!$B$31+D8+J8</f>
        <v>10.712</v>
      </c>
      <c r="F8" s="76" t="n">
        <f aca="false">MAX($B$37,Inputs!$B$32*(1+$B$36)^B8)</f>
        <v>41.5</v>
      </c>
      <c r="G8" s="24" t="n">
        <f aca="false">D8*F8</f>
        <v>75.115</v>
      </c>
      <c r="H8" s="75" t="n">
        <f aca="false">Inputs!$B$34+($B$39-Inputs!$B$34)*((1/(1+EXP(-$B$41*($A8-$B$40))))-(1/(1+EXP(-$B$41*(2026-$B$40)))))/(1-(1/(1+EXP(-$B$41*(2026-$B$40)))))</f>
        <v>1.6</v>
      </c>
      <c r="I8" s="24" t="n">
        <f aca="false">H8*$B$42*12/1000</f>
        <v>1.92</v>
      </c>
      <c r="J8" s="77" t="n">
        <f aca="false">Inputs!$B$35+($B$44-Inputs!$B$35)*((1/(1+EXP(-$B$46*($A8-$B$45))))-(1/(1+EXP(-$B$46*(2026-$B$45)))))/(1-(1/(1+EXP(-$B$46*(2026-$B$45)))))</f>
        <v>0.002</v>
      </c>
      <c r="K8" s="77" t="n">
        <f aca="false">J8/2</f>
        <v>0.001</v>
      </c>
      <c r="L8" s="75" t="n">
        <f aca="false">MAX($B$48,Inputs!$B$36*(1-Inputs!$B$37)^B8)</f>
        <v>1.5</v>
      </c>
      <c r="M8" s="24" t="n">
        <f aca="false">K8*$B$47*L8</f>
        <v>0.09</v>
      </c>
      <c r="N8" s="77" t="n">
        <f aca="false">Inputs!$B$39+($B$50-Inputs!$B$39)*((1/(1+EXP(-$B$52*($A8-$B$51))))-(1/(1+EXP(-$B$52*(2026-$B$51)))))/(1-(1/(1+EXP(-$B$52*(2026-$B$51)))))</f>
        <v>0.005</v>
      </c>
      <c r="O8" s="75" t="n">
        <f aca="false">N8</f>
        <v>0.005</v>
      </c>
      <c r="P8" s="76" t="n">
        <f aca="false">MAX($B$53,Inputs!$B$40*(1-Inputs!$B$41)^B8)</f>
        <v>50</v>
      </c>
      <c r="Q8" s="24" t="n">
        <f aca="false">N8*P8</f>
        <v>0.25</v>
      </c>
      <c r="R8" s="22" t="n">
        <f aca="false">Inputs!$B$43+($B$55-Inputs!$B$43)*((1/(1+EXP(-$B$57*($A8-$B$56))))-(1/(1+EXP(-$B$57*(2026-$B$56)))))/(1-(1/(1+EXP(-$B$57*(2026-$B$56)))))</f>
        <v>52</v>
      </c>
      <c r="S8" s="73" t="n">
        <f aca="false">MAX($B$58,Inputs!$B$44*(1-Inputs!$B$45)^B8)</f>
        <v>245</v>
      </c>
      <c r="T8" s="24" t="n">
        <f aca="false">R8*S8/1000</f>
        <v>12.74</v>
      </c>
      <c r="U8" s="24" t="n">
        <f aca="false">Inputs!$B$47</f>
        <v>17.5</v>
      </c>
      <c r="V8" s="78" t="n">
        <f aca="false">G8+I8+M8+Q8+T8+U8</f>
        <v>107.615</v>
      </c>
      <c r="W8" s="24" t="n">
        <f aca="false">G8*(Inputs!$B$33+($B$38-Inputs!$B$33)*C8)+I8*$B$43+M8*(Inputs!$B$38+($B$49-Inputs!$B$38)*C8)+Q8*(Inputs!$B$42+($B$54-Inputs!$B$42)*C8)+T8*(Inputs!$B$46+($B$59-Inputs!$B$46)*C8)+U8*$B$61-V8*Inputs!$B$49</f>
        <v>13.3385</v>
      </c>
      <c r="X8" s="24" t="n">
        <f aca="false">(W8-V8*(Inputs!$B$50+Inputs!$B$51))*(1-Inputs!$B$52)</f>
        <v>2.03583</v>
      </c>
      <c r="Y8" s="76" t="n">
        <f aca="false">$B$62+($B$63-$B$62)*MIN(1,MAX(0,(A8-2027)/(Inputs!$B$26-2027)))</f>
        <v>40</v>
      </c>
      <c r="Z8" s="77" t="n">
        <f aca="false">Inputs!$B$11*(1+$B$64)^B8</f>
        <v>3.949547394</v>
      </c>
      <c r="AA8" s="22" t="n">
        <f aca="false">MIN(1,B8/Inputs!$B$25)*(W9*Y8+Inputs!$B$28)+(1-MIN(1,B8/Inputs!$B$25))*Inputs!$B$9*Inputs!$B$11</f>
        <v>1481.08027275</v>
      </c>
      <c r="AB8" s="79" t="n">
        <f aca="false">AA8/Z8</f>
        <v>375</v>
      </c>
      <c r="AC8" s="22" t="n">
        <f aca="false">Inputs!$B$53+($B$65-Inputs!$B$53)*((1/(1+EXP(-$B$67*($A8-$B$66))))-(1/(1+EXP(-$B$67*(2026-$B$66)))))/(1-(1/(1+EXP(-$B$67*(2026-$B$66)))))</f>
        <v>32</v>
      </c>
      <c r="AD8" s="22" t="n">
        <f aca="false">AC8*(Inputs!$B$54+($B$68-Inputs!$B$54)*C8)</f>
        <v>11.2</v>
      </c>
      <c r="AE8" s="75" t="n">
        <f aca="false">Inputs!$B$13*(1+$B$69)^B8</f>
        <v>13.57</v>
      </c>
      <c r="AF8" s="22" t="n">
        <f aca="false">MIN(1,B8/Inputs!$B$25)*(AD9*Y8)+(1-MIN(1,B8/Inputs!$B$25))*Inputs!$B$12*Inputs!$B$13</f>
        <v>2178.9349</v>
      </c>
      <c r="AG8" s="19" t="n">
        <f aca="false">AF8/AE8</f>
        <v>160.57</v>
      </c>
      <c r="AH8" s="73" t="n">
        <f aca="false">IF(AND(Inputs!$B$19="Yes",A8&gt;=$B$5),1,0)</f>
        <v>0</v>
      </c>
      <c r="AI8" s="22" t="n">
        <f aca="false">(AA8+AF8)*(1+IF(AH8=1,$B$70*MIN(1,(A8-$B$5+1)/3),0))</f>
        <v>3660.01517275</v>
      </c>
      <c r="AJ8" s="75" t="n">
        <f aca="false">AE8+Z8*$B$4</f>
        <v>22.7938915908949</v>
      </c>
      <c r="AK8" s="58" t="n">
        <f aca="false">IF(AH8=1,Z8*$B$4/AJ8,1)</f>
        <v>1</v>
      </c>
      <c r="AL8" s="79" t="n">
        <f aca="false">IF(AH8=1,$B$4*AI8/AJ8,AB8)</f>
        <v>375</v>
      </c>
      <c r="AM8" s="19" t="n">
        <f aca="false">AL8*Holdings!$D$15</f>
        <v>138180</v>
      </c>
      <c r="AN8" s="80" t="n">
        <f aca="false">AM8/Inputs!$B$14</f>
        <v>104452.339557034</v>
      </c>
      <c r="AO8" s="21" t="n">
        <f aca="false">AN8/(1+Inputs!$B$17)^B8</f>
        <v>104452.339557034</v>
      </c>
      <c r="AP8" s="20" t="n">
        <f aca="false">AL8/Inputs!$B$9</f>
        <v>1</v>
      </c>
    </row>
    <row r="9" customFormat="false" ht="15" hidden="false" customHeight="false" outlineLevel="0" collapsed="false">
      <c r="A9" s="73" t="n">
        <v>2027</v>
      </c>
      <c r="B9" s="73" t="n">
        <f aca="false">A9-2026</f>
        <v>1</v>
      </c>
      <c r="C9" s="74" t="n">
        <f aca="false">MIN(1,B9/Inputs!$B$27)</f>
        <v>0.166666666666667</v>
      </c>
      <c r="D9" s="75" t="n">
        <f aca="false">Inputs!$B$30+($B$33-Inputs!$B$30)*((1/(1+EXP(-$B$35*($A9-$B$34))))-(1/(1+EXP(-$B$35*(2026-$B$34)))))/(1-(1/(1+EXP(-$B$35*(2026-$B$34)))))</f>
        <v>2.04487207559597</v>
      </c>
      <c r="E9" s="76" t="n">
        <f aca="false">E8-J8+D9+J9</f>
        <v>12.9413844342052</v>
      </c>
      <c r="F9" s="76" t="n">
        <f aca="false">MAX($B$37,Inputs!$B$32*(1+$B$36)^B9)</f>
        <v>40.67</v>
      </c>
      <c r="G9" s="24" t="n">
        <f aca="false">D9*F9</f>
        <v>83.1649473144879</v>
      </c>
      <c r="H9" s="75" t="n">
        <f aca="false">Inputs!$B$34+($B$39-Inputs!$B$34)*((1/(1+EXP(-$B$41*($A9-$B$40))))-(1/(1+EXP(-$B$41*(2026-$B$40)))))/(1-(1/(1+EXP(-$B$41*(2026-$B$40)))))</f>
        <v>2.32069160579236</v>
      </c>
      <c r="I9" s="24" t="n">
        <f aca="false">H9*$B$42*12/1000</f>
        <v>2.78482992695083</v>
      </c>
      <c r="J9" s="77" t="n">
        <f aca="false">Inputs!$B$35+($B$44-Inputs!$B$35)*((1/(1+EXP(-$B$46*($A9-$B$45))))-(1/(1+EXP(-$B$46*(2026-$B$45)))))/(1-(1/(1+EXP(-$B$46*(2026-$B$45)))))</f>
        <v>0.186512358609204</v>
      </c>
      <c r="K9" s="77" t="n">
        <f aca="false">(J9+J8)/2</f>
        <v>0.0942561793046018</v>
      </c>
      <c r="L9" s="75" t="n">
        <f aca="false">MAX($B$48,Inputs!$B$36*(1-Inputs!$B$37)^B9)</f>
        <v>1.425</v>
      </c>
      <c r="M9" s="24" t="n">
        <f aca="false">K9*$B$47*L9</f>
        <v>8.05890333054345</v>
      </c>
      <c r="N9" s="77" t="n">
        <f aca="false">Inputs!$B$39+($B$50-Inputs!$B$39)*((1/(1+EXP(-$B$52*($A9-$B$51))))-(1/(1+EXP(-$B$52*(2026-$B$51)))))/(1-(1/(1+EXP(-$B$52*(2026-$B$51)))))</f>
        <v>0.0568546856982725</v>
      </c>
      <c r="O9" s="75" t="n">
        <f aca="false">O8+N9</f>
        <v>0.0618546856982725</v>
      </c>
      <c r="P9" s="76" t="n">
        <f aca="false">MAX($B$53,Inputs!$B$40*(1-Inputs!$B$41)^B9)</f>
        <v>46</v>
      </c>
      <c r="Q9" s="24" t="n">
        <f aca="false">N9*P9</f>
        <v>2.61531554212054</v>
      </c>
      <c r="R9" s="22" t="n">
        <f aca="false">Inputs!$B$43+($B$55-Inputs!$B$43)*((1/(1+EXP(-$B$57*($A9-$B$56))))-(1/(1+EXP(-$B$57*(2026-$B$56)))))/(1-(1/(1+EXP(-$B$57*(2026-$B$56)))))</f>
        <v>76.5124852167134</v>
      </c>
      <c r="S9" s="73" t="n">
        <f aca="false">MAX($B$58,Inputs!$B$44*(1-Inputs!$B$45)^B9)</f>
        <v>235.2</v>
      </c>
      <c r="T9" s="24" t="n">
        <f aca="false">R9*S9/1000</f>
        <v>17.995736522971</v>
      </c>
      <c r="U9" s="24" t="n">
        <f aca="false">U8*(1+$B$60*Inputs!$B$48^(B9-1))</f>
        <v>20.125</v>
      </c>
      <c r="V9" s="78" t="n">
        <f aca="false">G9+I9+M9+Q9+T9+U9</f>
        <v>134.744732637074</v>
      </c>
      <c r="W9" s="24" t="n">
        <f aca="false">G9*(Inputs!$B$33+($B$38-Inputs!$B$33)*C9)+I9*$B$43+M9*(Inputs!$B$38+($B$49-Inputs!$B$38)*C9)+Q9*(Inputs!$B$42+($B$54-Inputs!$B$42)*C9)+T9*(Inputs!$B$46+($B$59-Inputs!$B$46)*C9)+U9*$B$61-V9*Inputs!$B$49</f>
        <v>17.2562398545074</v>
      </c>
      <c r="X9" s="24" t="n">
        <f aca="false">(W9-V9*(Inputs!$B$50+Inputs!$B$51))*(1-Inputs!$B$52)</f>
        <v>2.98759560673204</v>
      </c>
      <c r="Y9" s="76" t="n">
        <f aca="false">$B$62+($B$63-$B$62)*MIN(1,MAX(0,(A9-2027)/(Inputs!$B$26-2027)))</f>
        <v>40</v>
      </c>
      <c r="Z9" s="77" t="n">
        <f aca="false">Inputs!$B$11*(1+$B$64)^B9</f>
        <v>3.96929513097</v>
      </c>
      <c r="AA9" s="22" t="n">
        <f aca="false">MIN(1,B9/Inputs!$B$25)*(W10*Y9+Inputs!$B$28)+(1-MIN(1,B9/Inputs!$B$25))*Inputs!$B$9*Inputs!$B$11</f>
        <v>1368.57591700629</v>
      </c>
      <c r="AB9" s="79" t="n">
        <f aca="false">AA9/Z9</f>
        <v>344.790667322297</v>
      </c>
      <c r="AC9" s="22" t="n">
        <f aca="false">Inputs!$B$53+($B$65-Inputs!$B$53)*((1/(1+EXP(-$B$67*($A9-$B$66))))-(1/(1+EXP(-$B$67*(2026-$B$66)))))/(1-(1/(1+EXP(-$B$67*(2026-$B$66)))))</f>
        <v>170.755360163192</v>
      </c>
      <c r="AD9" s="22" t="n">
        <f aca="false">AC9*(Inputs!$B$54+($B$68-Inputs!$B$54)*C9)</f>
        <v>62.6102987265037</v>
      </c>
      <c r="AE9" s="75" t="n">
        <f aca="false">Inputs!$B$13*(1+$B$69)^B9</f>
        <v>13.77355</v>
      </c>
      <c r="AF9" s="22" t="n">
        <f aca="false">MIN(1,B9/Inputs!$B$25)*(AD10*Y9)+(1-MIN(1,B9/Inputs!$B$25))*Inputs!$B$12*Inputs!$B$13</f>
        <v>3408.58153520443</v>
      </c>
      <c r="AG9" s="19" t="n">
        <f aca="false">AF9/AE9</f>
        <v>247.472985192955</v>
      </c>
      <c r="AH9" s="73" t="n">
        <f aca="false">IF(AND(Inputs!$B$19="Yes",A9&gt;=$B$5),1,0)</f>
        <v>1</v>
      </c>
      <c r="AI9" s="22" t="n">
        <f aca="false">(AA9+AF9)*(1+IF(AH9=1,$B$70*MIN(1,(A9-$B$5+1)/3),0))</f>
        <v>4936.39603395107</v>
      </c>
      <c r="AJ9" s="75" t="n">
        <f aca="false">AE9+Z9*$B$4</f>
        <v>23.0435610488494</v>
      </c>
      <c r="AK9" s="58" t="n">
        <f aca="false">IF(AH9=1,Z9*$B$4/AJ9,1)</f>
        <v>0.402282053073228</v>
      </c>
      <c r="AL9" s="79" t="n">
        <f aca="false">IF(AH9=1,$B$4*AI9/AJ9,AB9)</f>
        <v>500.296265658405</v>
      </c>
      <c r="AM9" s="19" t="n">
        <f aca="false">AL9*Holdings!$D$15</f>
        <v>184349.167969809</v>
      </c>
      <c r="AN9" s="80" t="n">
        <f aca="false">AM9/Inputs!$B$14</f>
        <v>139352.30778578</v>
      </c>
      <c r="AO9" s="21" t="n">
        <f aca="false">AN9/(1+Inputs!$B$17)^B9</f>
        <v>135953.471010518</v>
      </c>
      <c r="AP9" s="20" t="n">
        <f aca="false">AL9/Inputs!$B$9</f>
        <v>1.33412337508908</v>
      </c>
    </row>
    <row r="10" customFormat="false" ht="15" hidden="false" customHeight="false" outlineLevel="0" collapsed="false">
      <c r="A10" s="73" t="n">
        <v>2028</v>
      </c>
      <c r="B10" s="73" t="n">
        <f aca="false">A10-2026</f>
        <v>2</v>
      </c>
      <c r="C10" s="74" t="n">
        <f aca="false">MIN(1,B10/Inputs!$B$27)</f>
        <v>0.333333333333333</v>
      </c>
      <c r="D10" s="75" t="n">
        <f aca="false">Inputs!$B$30+($B$33-Inputs!$B$30)*((1/(1+EXP(-$B$35*($A10-$B$34))))-(1/(1+EXP(-$B$35*(2026-$B$34)))))/(1-(1/(1+EXP(-$B$35*(2026-$B$34)))))</f>
        <v>2.38419942485186</v>
      </c>
      <c r="E10" s="76" t="n">
        <f aca="false">E9-J9+D10+J10</f>
        <v>15.6206734540039</v>
      </c>
      <c r="F10" s="76" t="n">
        <f aca="false">MAX($B$37,Inputs!$B$32*(1+$B$36)^B10)</f>
        <v>39.8566</v>
      </c>
      <c r="G10" s="24" t="n">
        <f aca="false">D10*F10</f>
        <v>95.0260827965505</v>
      </c>
      <c r="H10" s="75" t="n">
        <f aca="false">Inputs!$B$34+($B$39-Inputs!$B$34)*((1/(1+EXP(-$B$41*($A10-$B$40))))-(1/(1+EXP(-$B$41*(2026-$B$40)))))/(1-(1/(1+EXP(-$B$41*(2026-$B$40)))))</f>
        <v>3.4087225254295</v>
      </c>
      <c r="I10" s="24" t="n">
        <f aca="false">H10*$B$42*12/1000</f>
        <v>4.09046703051541</v>
      </c>
      <c r="J10" s="77" t="n">
        <f aca="false">Inputs!$B$35+($B$44-Inputs!$B$35)*((1/(1+EXP(-$B$46*($A10-$B$45))))-(1/(1+EXP(-$B$46*(2026-$B$45)))))/(1-(1/(1+EXP(-$B$46*(2026-$B$45)))))</f>
        <v>0.481601953556061</v>
      </c>
      <c r="K10" s="77" t="n">
        <f aca="false">(J10+J9)/2</f>
        <v>0.334057156082632</v>
      </c>
      <c r="L10" s="75" t="n">
        <f aca="false">MAX($B$48,Inputs!$B$36*(1-Inputs!$B$37)^B10)</f>
        <v>1.35375</v>
      </c>
      <c r="M10" s="24" t="n">
        <f aca="false">K10*$B$47*L10</f>
        <v>27.1337925028118</v>
      </c>
      <c r="N10" s="77" t="n">
        <f aca="false">Inputs!$B$39+($B$50-Inputs!$B$39)*((1/(1+EXP(-$B$52*($A10-$B$51))))-(1/(1+EXP(-$B$52*(2026-$B$51)))))/(1-(1/(1+EXP(-$B$52*(2026-$B$51)))))</f>
        <v>0.141376589843879</v>
      </c>
      <c r="O10" s="75" t="n">
        <f aca="false">O9+N10</f>
        <v>0.203231275542151</v>
      </c>
      <c r="P10" s="76" t="n">
        <f aca="false">MAX($B$53,Inputs!$B$40*(1-Inputs!$B$41)^B10)</f>
        <v>42.32</v>
      </c>
      <c r="Q10" s="24" t="n">
        <f aca="false">N10*P10</f>
        <v>5.98305728219295</v>
      </c>
      <c r="R10" s="22" t="n">
        <f aca="false">Inputs!$B$43+($B$55-Inputs!$B$43)*((1/(1+EXP(-$B$57*($A10-$B$56))))-(1/(1+EXP(-$B$57*(2026-$B$56)))))/(1-(1/(1+EXP(-$B$57*(2026-$B$56)))))</f>
        <v>109.906291935611</v>
      </c>
      <c r="S10" s="73" t="n">
        <f aca="false">MAX($B$58,Inputs!$B$44*(1-Inputs!$B$45)^B10)</f>
        <v>225.792</v>
      </c>
      <c r="T10" s="24" t="n">
        <f aca="false">R10*S10/1000</f>
        <v>24.8159614687255</v>
      </c>
      <c r="U10" s="24" t="n">
        <f aca="false">U9*(1+$B$60*Inputs!$B$48^(B10-1))</f>
        <v>22.9324375</v>
      </c>
      <c r="V10" s="78" t="n">
        <f aca="false">G10+I10+M10+Q10+T10+U10</f>
        <v>179.981798580796</v>
      </c>
      <c r="W10" s="24" t="n">
        <f aca="false">G10*(Inputs!$B$33+($B$38-Inputs!$B$33)*C10)+I10*$B$43+M10*(Inputs!$B$38+($B$49-Inputs!$B$38)*C10)+Q10*(Inputs!$B$42+($B$54-Inputs!$B$42)*C10)+T10*(Inputs!$B$46+($B$59-Inputs!$B$46)*C10)+U10*$B$61-V10*Inputs!$B$49</f>
        <v>27.6466801379717</v>
      </c>
      <c r="X10" s="24" t="n">
        <f aca="false">(W10-V10*(Inputs!$B$50+Inputs!$B$51))*(1-Inputs!$B$52)</f>
        <v>7.62231522111474</v>
      </c>
      <c r="Y10" s="76" t="n">
        <f aca="false">$B$62+($B$63-$B$62)*MIN(1,MAX(0,(A10-2027)/(Inputs!$B$26-2027)))</f>
        <v>38.1818181818182</v>
      </c>
      <c r="Z10" s="77" t="n">
        <f aca="false">Inputs!$B$11*(1+$B$64)^B10</f>
        <v>3.98914160662485</v>
      </c>
      <c r="AA10" s="22" t="n">
        <f aca="false">MIN(1,B10/Inputs!$B$25)*(W11*Y10+Inputs!$B$28)+(1-MIN(1,B10/Inputs!$B$25))*Inputs!$B$9*Inputs!$B$11</f>
        <v>1713.79869348861</v>
      </c>
      <c r="AB10" s="79" t="n">
        <f aca="false">AA10/Z10</f>
        <v>429.615908004487</v>
      </c>
      <c r="AC10" s="22" t="n">
        <f aca="false">Inputs!$B$53+($B$65-Inputs!$B$53)*((1/(1+EXP(-$B$67*($A10-$B$66))))-(1/(1+EXP(-$B$67*(2026-$B$66)))))/(1-(1/(1+EXP(-$B$67*(2026-$B$66)))))</f>
        <v>382.687487322605</v>
      </c>
      <c r="AD10" s="22" t="n">
        <f aca="false">AC10*(Inputs!$B$54+($B$68-Inputs!$B$54)*C10)</f>
        <v>146.696870140332</v>
      </c>
      <c r="AE10" s="75" t="n">
        <f aca="false">Inputs!$B$13*(1+$B$69)^B10</f>
        <v>13.98015325</v>
      </c>
      <c r="AF10" s="22" t="n">
        <f aca="false">MIN(1,B10/Inputs!$B$25)*(AD11*Y10)+(1-MIN(1,B10/Inputs!$B$25))*Inputs!$B$12*Inputs!$B$13</f>
        <v>7581.03430446132</v>
      </c>
      <c r="AG10" s="19" t="n">
        <f aca="false">AF10/AE10</f>
        <v>542.271187510861</v>
      </c>
      <c r="AH10" s="73" t="n">
        <f aca="false">IF(AND(Inputs!$B$19="Yes",A10&gt;=$B$5),1,0)</f>
        <v>1</v>
      </c>
      <c r="AI10" s="22" t="n">
        <f aca="false">(AA10+AF10)*(1+IF(AH10=1,$B$70*MIN(1,(A10-$B$5+1)/3),0))</f>
        <v>9914.4885311466</v>
      </c>
      <c r="AJ10" s="75" t="n">
        <f aca="false">AE10+Z10*$B$4</f>
        <v>23.2965143540937</v>
      </c>
      <c r="AK10" s="58" t="n">
        <f aca="false">IF(AH10=1,Z10*$B$4/AJ10,1)</f>
        <v>0.399903649210792</v>
      </c>
      <c r="AL10" s="79" t="n">
        <f aca="false">IF(AH10=1,$B$4*AI10/AJ10,AB10)</f>
        <v>993.908097190529</v>
      </c>
      <c r="AM10" s="19" t="n">
        <f aca="false">AL10*Holdings!$D$15</f>
        <v>366235.255652766</v>
      </c>
      <c r="AN10" s="80" t="n">
        <f aca="false">AM10/Inputs!$B$14</f>
        <v>276842.736149948</v>
      </c>
      <c r="AO10" s="21" t="n">
        <f aca="false">AN10/(1+Inputs!$B$17)^B10</f>
        <v>263502.901748909</v>
      </c>
      <c r="AP10" s="20" t="n">
        <f aca="false">AL10/Inputs!$B$9</f>
        <v>2.65042159250808</v>
      </c>
    </row>
    <row r="11" customFormat="false" ht="15" hidden="false" customHeight="false" outlineLevel="0" collapsed="false">
      <c r="A11" s="73" t="n">
        <v>2029</v>
      </c>
      <c r="B11" s="73" t="n">
        <f aca="false">A11-2026</f>
        <v>3</v>
      </c>
      <c r="C11" s="74" t="n">
        <f aca="false">MIN(1,B11/Inputs!$B$27)</f>
        <v>0.5</v>
      </c>
      <c r="D11" s="75" t="n">
        <f aca="false">Inputs!$B$30+($B$33-Inputs!$B$30)*((1/(1+EXP(-$B$35*($A11-$B$34))))-(1/(1+EXP(-$B$35*(2026-$B$34)))))/(1-(1/(1+EXP(-$B$35*(2026-$B$34)))))</f>
        <v>2.86723120770176</v>
      </c>
      <c r="E11" s="76" t="n">
        <f aca="false">E10-J10+D11+J11</f>
        <v>18.9510957589178</v>
      </c>
      <c r="F11" s="76" t="n">
        <f aca="false">MAX($B$37,Inputs!$B$32*(1+$B$36)^B11)</f>
        <v>39.059468</v>
      </c>
      <c r="G11" s="24" t="n">
        <f aca="false">D11*F11</f>
        <v>111.992525605828</v>
      </c>
      <c r="H11" s="75" t="n">
        <f aca="false">Inputs!$B$34+($B$39-Inputs!$B$34)*((1/(1+EXP(-$B$41*($A11-$B$40))))-(1/(1+EXP(-$B$41*(2026-$B$40)))))/(1-(1/(1+EXP(-$B$41*(2026-$B$40)))))</f>
        <v>5.01854256668495</v>
      </c>
      <c r="I11" s="24" t="n">
        <f aca="false">H11*$B$42*12/1000</f>
        <v>6.02225108002194</v>
      </c>
      <c r="J11" s="77" t="n">
        <f aca="false">Inputs!$B$35+($B$44-Inputs!$B$35)*((1/(1+EXP(-$B$46*($A11-$B$45))))-(1/(1+EXP(-$B$46*(2026-$B$45)))))/(1-(1/(1+EXP(-$B$46*(2026-$B$45)))))</f>
        <v>0.944793050768232</v>
      </c>
      <c r="K11" s="77" t="n">
        <f aca="false">(J11+J10)/2</f>
        <v>0.713197502162146</v>
      </c>
      <c r="L11" s="75" t="n">
        <f aca="false">MAX($B$48,Inputs!$B$36*(1-Inputs!$B$37)^B11)</f>
        <v>1.2860625</v>
      </c>
      <c r="M11" s="24" t="n">
        <f aca="false">K11*$B$47*L11</f>
        <v>55.0329937574643</v>
      </c>
      <c r="N11" s="77" t="n">
        <f aca="false">Inputs!$B$39+($B$50-Inputs!$B$39)*((1/(1+EXP(-$B$52*($A11-$B$51))))-(1/(1+EXP(-$B$52*(2026-$B$51)))))/(1-(1/(1+EXP(-$B$52*(2026-$B$51)))))</f>
        <v>0.278147597173934</v>
      </c>
      <c r="O11" s="75" t="n">
        <f aca="false">O10+N11</f>
        <v>0.481378872716085</v>
      </c>
      <c r="P11" s="76" t="n">
        <f aca="false">MAX($B$53,Inputs!$B$40*(1-Inputs!$B$41)^B11)</f>
        <v>38.9344</v>
      </c>
      <c r="Q11" s="24" t="n">
        <f aca="false">N11*P11</f>
        <v>10.8295098074088</v>
      </c>
      <c r="R11" s="22" t="n">
        <f aca="false">Inputs!$B$43+($B$55-Inputs!$B$43)*((1/(1+EXP(-$B$57*($A11-$B$56))))-(1/(1+EXP(-$B$57*(2026-$B$56)))))/(1-(1/(1+EXP(-$B$57*(2026-$B$56)))))</f>
        <v>154.691762018993</v>
      </c>
      <c r="S11" s="73" t="n">
        <f aca="false">MAX($B$58,Inputs!$B$44*(1-Inputs!$B$45)^B11)</f>
        <v>216.76032</v>
      </c>
      <c r="T11" s="24" t="n">
        <f aca="false">R11*S11/1000</f>
        <v>33.5310358366007</v>
      </c>
      <c r="U11" s="24" t="n">
        <f aca="false">U10*(1+$B$60*Inputs!$B$48^(B11-1))</f>
        <v>25.9075772790625</v>
      </c>
      <c r="V11" s="78" t="n">
        <f aca="false">G11+I11+M11+Q11+T11+U11</f>
        <v>243.315893366387</v>
      </c>
      <c r="W11" s="24" t="n">
        <f aca="false">G11*(Inputs!$B$33+($B$38-Inputs!$B$33)*C11)+I11*$B$43+M11*(Inputs!$B$38+($B$49-Inputs!$B$38)*C11)+Q11*(Inputs!$B$42+($B$54-Inputs!$B$42)*C11)+T11*(Inputs!$B$46+($B$59-Inputs!$B$46)*C11)+U11*$B$61-V11*Inputs!$B$49</f>
        <v>46.9453260534217</v>
      </c>
      <c r="X11" s="24" t="n">
        <f aca="false">(W11-V11*(Inputs!$B$50+Inputs!$B$51))*(1-Inputs!$B$52)</f>
        <v>17.8648520062586</v>
      </c>
      <c r="Y11" s="76" t="n">
        <f aca="false">$B$62+($B$63-$B$62)*MIN(1,MAX(0,(A11-2027)/(Inputs!$B$26-2027)))</f>
        <v>36.3636363636364</v>
      </c>
      <c r="Z11" s="77" t="n">
        <f aca="false">Inputs!$B$11*(1+$B$64)^B11</f>
        <v>4.00908731465797</v>
      </c>
      <c r="AA11" s="22" t="n">
        <f aca="false">MIN(1,B11/Inputs!$B$25)*(W12*Y11+Inputs!$B$28)+(1-MIN(1,B11/Inputs!$B$25))*Inputs!$B$9*Inputs!$B$11</f>
        <v>2948.28472155385</v>
      </c>
      <c r="AB11" s="79" t="n">
        <f aca="false">AA11/Z11</f>
        <v>735.400476506054</v>
      </c>
      <c r="AC11" s="22" t="n">
        <f aca="false">Inputs!$B$53+($B$65-Inputs!$B$53)*((1/(1+EXP(-$B$67*($A11-$B$66))))-(1/(1+EXP(-$B$67*(2026-$B$66)))))/(1-(1/(1+EXP(-$B$67*(2026-$B$66)))))</f>
        <v>673.231690914356</v>
      </c>
      <c r="AD11" s="22" t="n">
        <f aca="false">AC11*(Inputs!$B$54+($B$68-Inputs!$B$54)*C11)</f>
        <v>269.292676365742</v>
      </c>
      <c r="AE11" s="75" t="n">
        <f aca="false">Inputs!$B$13*(1+$B$69)^B11</f>
        <v>14.18985554875</v>
      </c>
      <c r="AF11" s="22" t="n">
        <f aca="false">MIN(1,B11/Inputs!$B$25)*(AD12*Y11)+(1-MIN(1,B11/Inputs!$B$25))*Inputs!$B$12*Inputs!$B$13</f>
        <v>15419.1172520345</v>
      </c>
      <c r="AG11" s="19" t="n">
        <f aca="false">AF11/AE11</f>
        <v>1086.62961360398</v>
      </c>
      <c r="AH11" s="73" t="n">
        <f aca="false">IF(AND(Inputs!$B$19="Yes",A11&gt;=$B$5),1,0)</f>
        <v>1</v>
      </c>
      <c r="AI11" s="22" t="n">
        <f aca="false">(AA11+AF11)*(1+IF(AH11=1,$B$70*MIN(1,(A11-$B$5+1)/3),0))</f>
        <v>20204.1421709472</v>
      </c>
      <c r="AJ11" s="75" t="n">
        <f aca="false">AE11+Z11*$B$4</f>
        <v>23.5527984583641</v>
      </c>
      <c r="AK11" s="58" t="n">
        <f aca="false">IF(AH11=1,Z11*$B$4/AJ11,1)</f>
        <v>0.397529954929374</v>
      </c>
      <c r="AL11" s="79" t="n">
        <f aca="false">IF(AH11=1,$B$4*AI11/AJ11,AB11)</f>
        <v>2003.38658059098</v>
      </c>
      <c r="AM11" s="19" t="n">
        <f aca="false">AL11*Holdings!$D$15</f>
        <v>738207.887216163</v>
      </c>
      <c r="AN11" s="80" t="n">
        <f aca="false">AM11/Inputs!$B$14</f>
        <v>558022.44101305</v>
      </c>
      <c r="AO11" s="21" t="n">
        <f aca="false">AN11/(1+Inputs!$B$17)^B11</f>
        <v>518179.310004718</v>
      </c>
      <c r="AP11" s="20" t="n">
        <f aca="false">AL11/Inputs!$B$9</f>
        <v>5.34236421490927</v>
      </c>
    </row>
    <row r="12" customFormat="false" ht="15" hidden="false" customHeight="false" outlineLevel="0" collapsed="false">
      <c r="A12" s="73" t="n">
        <v>2030</v>
      </c>
      <c r="B12" s="73" t="n">
        <f aca="false">A12-2026</f>
        <v>4</v>
      </c>
      <c r="C12" s="74" t="n">
        <f aca="false">MIN(1,B12/Inputs!$B$27)</f>
        <v>0.666666666666667</v>
      </c>
      <c r="D12" s="75" t="n">
        <f aca="false">Inputs!$B$30+($B$33-Inputs!$B$30)*((1/(1+EXP(-$B$35*($A12-$B$34))))-(1/(1+EXP(-$B$35*(2026-$B$34)))))/(1-(1/(1+EXP(-$B$35*(2026-$B$34)))))</f>
        <v>3.54052869911405</v>
      </c>
      <c r="E12" s="76" t="n">
        <f aca="false">E11-J11+D12+J12</f>
        <v>23.197754239064</v>
      </c>
      <c r="F12" s="76" t="n">
        <f aca="false">MAX($B$37,Inputs!$B$32*(1+$B$36)^B12)</f>
        <v>38.27827864</v>
      </c>
      <c r="G12" s="24" t="n">
        <f aca="false">D12*F12</f>
        <v>135.525344077604</v>
      </c>
      <c r="H12" s="75" t="n">
        <f aca="false">Inputs!$B$34+($B$39-Inputs!$B$34)*((1/(1+EXP(-$B$41*($A12-$B$40))))-(1/(1+EXP(-$B$41*(2026-$B$40)))))/(1-(1/(1+EXP(-$B$41*(2026-$B$40)))))</f>
        <v>7.33071689244243</v>
      </c>
      <c r="I12" s="24" t="n">
        <f aca="false">H12*$B$42*12/1000</f>
        <v>8.79686027093091</v>
      </c>
      <c r="J12" s="77" t="n">
        <f aca="false">Inputs!$B$35+($B$44-Inputs!$B$35)*((1/(1+EXP(-$B$46*($A12-$B$45))))-(1/(1+EXP(-$B$46*(2026-$B$45)))))/(1-(1/(1+EXP(-$B$46*(2026-$B$45)))))</f>
        <v>1.65092283180034</v>
      </c>
      <c r="K12" s="77" t="n">
        <f aca="false">(J12+J11)/2</f>
        <v>1.29785794128429</v>
      </c>
      <c r="L12" s="75" t="n">
        <f aca="false">MAX($B$48,Inputs!$B$36*(1-Inputs!$B$37)^B12)</f>
        <v>1.221759375</v>
      </c>
      <c r="M12" s="24" t="n">
        <f aca="false">K12*$B$47*L12</f>
        <v>95.1402064309366</v>
      </c>
      <c r="N12" s="77" t="n">
        <f aca="false">Inputs!$B$39+($B$50-Inputs!$B$39)*((1/(1+EXP(-$B$52*($A12-$B$51))))-(1/(1+EXP(-$B$52*(2026-$B$51)))))/(1-(1/(1+EXP(-$B$52*(2026-$B$51)))))</f>
        <v>0.496884712984054</v>
      </c>
      <c r="O12" s="75" t="n">
        <f aca="false">O11+N12</f>
        <v>0.978263585700139</v>
      </c>
      <c r="P12" s="76" t="n">
        <f aca="false">MAX($B$53,Inputs!$B$40*(1-Inputs!$B$41)^B12)</f>
        <v>35.819648</v>
      </c>
      <c r="Q12" s="24" t="n">
        <f aca="false">N12*P12</f>
        <v>17.7982355156698</v>
      </c>
      <c r="R12" s="22" t="n">
        <f aca="false">Inputs!$B$43+($B$55-Inputs!$B$43)*((1/(1+EXP(-$B$57*($A12-$B$56))))-(1/(1+EXP(-$B$57*(2026-$B$56)))))/(1-(1/(1+EXP(-$B$57*(2026-$B$56)))))</f>
        <v>213.508773874715</v>
      </c>
      <c r="S12" s="73" t="n">
        <f aca="false">MAX($B$58,Inputs!$B$44*(1-Inputs!$B$45)^B12)</f>
        <v>208.0899072</v>
      </c>
      <c r="T12" s="24" t="n">
        <f aca="false">R12*S12/1000</f>
        <v>44.4290209419752</v>
      </c>
      <c r="U12" s="24" t="n">
        <f aca="false">U11*(1+$B$60*Inputs!$B$48^(B12-1))</f>
        <v>29.0334184496807</v>
      </c>
      <c r="V12" s="78" t="n">
        <f aca="false">G12+I12+M12+Q12+T12+U12</f>
        <v>330.723085686797</v>
      </c>
      <c r="W12" s="24" t="n">
        <f aca="false">G12*(Inputs!$B$33+($B$38-Inputs!$B$33)*C12)+I12*$B$43+M12*(Inputs!$B$38+($B$49-Inputs!$B$38)*C12)+Q12*(Inputs!$B$42+($B$54-Inputs!$B$42)*C12)+T12*(Inputs!$B$46+($B$59-Inputs!$B$46)*C12)+U12*$B$61-V12*Inputs!$B$49</f>
        <v>80.0410798427309</v>
      </c>
      <c r="X12" s="24" t="n">
        <f aca="false">(W12-V12*(Inputs!$B$50+Inputs!$B$51))*(1-Inputs!$B$52)</f>
        <v>37.1053293065004</v>
      </c>
      <c r="Y12" s="76" t="n">
        <f aca="false">$B$62+($B$63-$B$62)*MIN(1,MAX(0,(A12-2027)/(Inputs!$B$26-2027)))</f>
        <v>34.5454545454546</v>
      </c>
      <c r="Z12" s="77" t="n">
        <f aca="false">Inputs!$B$11*(1+$B$64)^B12</f>
        <v>4.02913275123126</v>
      </c>
      <c r="AA12" s="22" t="n">
        <f aca="false">MIN(1,B12/Inputs!$B$25)*(W13*Y12+Inputs!$B$28)+(1-MIN(1,B12/Inputs!$B$25))*Inputs!$B$9*Inputs!$B$11</f>
        <v>4644.74453417034</v>
      </c>
      <c r="AB12" s="79" t="n">
        <f aca="false">AA12/Z12</f>
        <v>1152.79014640333</v>
      </c>
      <c r="AC12" s="22" t="n">
        <f aca="false">Inputs!$B$53+($B$65-Inputs!$B$53)*((1/(1+EXP(-$B$67*($A12-$B$66))))-(1/(1+EXP(-$B$67*(2026-$B$66)))))/(1-(1/(1+EXP(-$B$67*(2026-$B$66)))))</f>
        <v>1017.66173863428</v>
      </c>
      <c r="AD12" s="22" t="n">
        <f aca="false">AC12*(Inputs!$B$54+($B$68-Inputs!$B$54)*C12)</f>
        <v>424.025724430949</v>
      </c>
      <c r="AE12" s="75" t="n">
        <f aca="false">Inputs!$B$13*(1+$B$69)^B12</f>
        <v>14.4027033819812</v>
      </c>
      <c r="AF12" s="22" t="n">
        <f aca="false">MIN(1,B12/Inputs!$B$25)*(AD13*Y12)+(1-MIN(1,B12/Inputs!$B$25))*Inputs!$B$12*Inputs!$B$13</f>
        <v>20390.1012866356</v>
      </c>
      <c r="AG12" s="19" t="n">
        <f aca="false">AF12/AE12</f>
        <v>1415.71347724518</v>
      </c>
      <c r="AH12" s="73" t="n">
        <f aca="false">IF(AND(Inputs!$B$19="Yes",A12&gt;=$B$5),1,0)</f>
        <v>1</v>
      </c>
      <c r="AI12" s="22" t="n">
        <f aca="false">(AA12+AF12)*(1+IF(AH12=1,$B$70*MIN(1,(A12-$B$5+1)/3),0))</f>
        <v>27538.3304028865</v>
      </c>
      <c r="AJ12" s="75" t="n">
        <f aca="false">AE12+Z12*$B$4</f>
        <v>23.8124610061434</v>
      </c>
      <c r="AK12" s="58" t="n">
        <f aca="false">IF(AH12=1,Z12*$B$4/AJ12,1)</f>
        <v>0.395161072252656</v>
      </c>
      <c r="AL12" s="79" t="n">
        <f aca="false">IF(AH12=1,$B$4*AI12/AJ12,AB12)</f>
        <v>2700.84825741398</v>
      </c>
      <c r="AM12" s="19" t="n">
        <f aca="false">AL12*Holdings!$D$15</f>
        <v>995208.565891902</v>
      </c>
      <c r="AN12" s="80" t="n">
        <f aca="false">AM12/Inputs!$B$14</f>
        <v>752293.118067807</v>
      </c>
      <c r="AO12" s="21" t="n">
        <f aca="false">AN12/(1+Inputs!$B$17)^B12</f>
        <v>681540.435391948</v>
      </c>
      <c r="AP12" s="20" t="n">
        <f aca="false">AL12/Inputs!$B$9</f>
        <v>7.2022620197706</v>
      </c>
    </row>
    <row r="13" customFormat="false" ht="15" hidden="false" customHeight="false" outlineLevel="0" collapsed="false">
      <c r="A13" s="73" t="n">
        <v>2031</v>
      </c>
      <c r="B13" s="73" t="n">
        <f aca="false">A13-2026</f>
        <v>5</v>
      </c>
      <c r="C13" s="74" t="n">
        <f aca="false">MIN(1,B13/Inputs!$B$27)</f>
        <v>0.833333333333333</v>
      </c>
      <c r="D13" s="75" t="n">
        <f aca="false">Inputs!$B$30+($B$33-Inputs!$B$30)*((1/(1+EXP(-$B$35*($A13-$B$34))))-(1/(1+EXP(-$B$35*(2026-$B$34)))))/(1-(1/(1+EXP(-$B$35*(2026-$B$34)))))</f>
        <v>4.4520570352469</v>
      </c>
      <c r="E13" s="76" t="n">
        <f aca="false">E12-J12+D13+J13</f>
        <v>28.6797715392326</v>
      </c>
      <c r="F13" s="76" t="n">
        <f aca="false">MAX($B$37,Inputs!$B$32*(1+$B$36)^B13)</f>
        <v>37.5127130672</v>
      </c>
      <c r="G13" s="24" t="n">
        <f aca="false">D13*F13</f>
        <v>167.008738122026</v>
      </c>
      <c r="H13" s="75" t="n">
        <f aca="false">Inputs!$B$34+($B$39-Inputs!$B$34)*((1/(1+EXP(-$B$41*($A13-$B$40))))-(1/(1+EXP(-$B$41*(2026-$B$40)))))/(1-(1/(1+EXP(-$B$41*(2026-$B$40)))))</f>
        <v>10.5139148418387</v>
      </c>
      <c r="I13" s="24" t="n">
        <f aca="false">H13*$B$42*12/1000</f>
        <v>12.6166978102064</v>
      </c>
      <c r="J13" s="77" t="n">
        <f aca="false">Inputs!$B$35+($B$44-Inputs!$B$35)*((1/(1+EXP(-$B$46*($A13-$B$45))))-(1/(1+EXP(-$B$46*(2026-$B$45)))))/(1-(1/(1+EXP(-$B$46*(2026-$B$45)))))</f>
        <v>2.68088309672209</v>
      </c>
      <c r="K13" s="77" t="n">
        <f aca="false">(J13+J12)/2</f>
        <v>2.16590296426122</v>
      </c>
      <c r="L13" s="75" t="n">
        <f aca="false">MAX($B$48,Inputs!$B$36*(1-Inputs!$B$37)^B13)</f>
        <v>1.16067140625</v>
      </c>
      <c r="M13" s="24" t="n">
        <f aca="false">K13*$B$47*L13</f>
        <v>150.834098359807</v>
      </c>
      <c r="N13" s="77" t="n">
        <f aca="false">Inputs!$B$39+($B$50-Inputs!$B$39)*((1/(1+EXP(-$B$52*($A13-$B$51))))-(1/(1+EXP(-$B$52*(2026-$B$51)))))/(1-(1/(1+EXP(-$B$52*(2026-$B$51)))))</f>
        <v>0.840228180215967</v>
      </c>
      <c r="O13" s="75" t="n">
        <f aca="false">O12+N13</f>
        <v>1.81849176591611</v>
      </c>
      <c r="P13" s="76" t="n">
        <f aca="false">MAX($B$53,Inputs!$B$40*(1-Inputs!$B$41)^B13)</f>
        <v>32.95407616</v>
      </c>
      <c r="Q13" s="24" t="n">
        <f aca="false">N13*P13</f>
        <v>27.6889434426152</v>
      </c>
      <c r="R13" s="22" t="n">
        <f aca="false">Inputs!$B$43+($B$55-Inputs!$B$43)*((1/(1+EXP(-$B$57*($A13-$B$56))))-(1/(1+EXP(-$B$57*(2026-$B$56)))))/(1-(1/(1+EXP(-$B$57*(2026-$B$56)))))</f>
        <v>288.662315582048</v>
      </c>
      <c r="S13" s="73" t="n">
        <f aca="false">MAX($B$58,Inputs!$B$44*(1-Inputs!$B$45)^B13)</f>
        <v>199.766310912</v>
      </c>
      <c r="T13" s="24" t="n">
        <f aca="false">R13*S13/1000</f>
        <v>57.6650058831413</v>
      </c>
      <c r="U13" s="24" t="n">
        <f aca="false">U12*(1+$B$60*Inputs!$B$48^(B13-1))</f>
        <v>32.2911945039489</v>
      </c>
      <c r="V13" s="78" t="n">
        <f aca="false">G13+I13+M13+Q13+T13+U13</f>
        <v>448.104678121744</v>
      </c>
      <c r="W13" s="24" t="n">
        <f aca="false">G13*(Inputs!$B$33+($B$38-Inputs!$B$33)*C13)+I13*$B$43+M13*(Inputs!$B$38+($B$49-Inputs!$B$38)*C13)+Q13*(Inputs!$B$42+($B$54-Inputs!$B$42)*C13)+T13*(Inputs!$B$46+($B$59-Inputs!$B$46)*C13)+U13*$B$61-V13*Inputs!$B$49</f>
        <v>133.361815462826</v>
      </c>
      <c r="X13" s="24" t="n">
        <f aca="false">(W13-V13*(Inputs!$B$50+Inputs!$B$51))*(1-Inputs!$B$52)</f>
        <v>69.9555646440143</v>
      </c>
      <c r="Y13" s="76" t="n">
        <f aca="false">$B$62+($B$63-$B$62)*MIN(1,MAX(0,(A13-2027)/(Inputs!$B$26-2027)))</f>
        <v>32.7272727272727</v>
      </c>
      <c r="Z13" s="77" t="n">
        <f aca="false">Inputs!$B$11*(1+$B$64)^B13</f>
        <v>4.04927841498742</v>
      </c>
      <c r="AA13" s="22" t="n">
        <f aca="false">MIN(1,B13/Inputs!$B$25)*(W14*Y13+Inputs!$B$28)+(1-MIN(1,B13/Inputs!$B$25))*Inputs!$B$9*Inputs!$B$11</f>
        <v>7039.98086447294</v>
      </c>
      <c r="AB13" s="79" t="n">
        <f aca="false">AA13/Z13</f>
        <v>1738.5766408198</v>
      </c>
      <c r="AC13" s="22" t="n">
        <f aca="false">Inputs!$B$53+($B$65-Inputs!$B$53)*((1/(1+EXP(-$B$67*($A13-$B$66))))-(1/(1+EXP(-$B$67*(2026-$B$66)))))/(1-(1/(1+EXP(-$B$67*(2026-$B$66)))))</f>
        <v>1362.0917863542</v>
      </c>
      <c r="AD13" s="22" t="n">
        <f aca="false">AC13*(Inputs!$B$54+($B$68-Inputs!$B$54)*C13)</f>
        <v>590.239774086819</v>
      </c>
      <c r="AE13" s="75" t="n">
        <f aca="false">Inputs!$B$13*(1+$B$69)^B13</f>
        <v>14.618743932711</v>
      </c>
      <c r="AF13" s="22" t="n">
        <f aca="false">MIN(1,B13/Inputs!$B$25)*(AD14*Y13)+(1-MIN(1,B13/Inputs!$B$25))*Inputs!$B$12*Inputs!$B$13</f>
        <v>24338.8209428403</v>
      </c>
      <c r="AG13" s="19" t="n">
        <f aca="false">AF13/AE13</f>
        <v>1664.90507357336</v>
      </c>
      <c r="AH13" s="73" t="n">
        <f aca="false">IF(AND(Inputs!$B$19="Yes",A13&gt;=$B$5),1,0)</f>
        <v>1</v>
      </c>
      <c r="AI13" s="22" t="n">
        <f aca="false">(AA13+AF13)*(1+IF(AH13=1,$B$70*MIN(1,(A13-$B$5+1)/3),0))</f>
        <v>34516.6819880446</v>
      </c>
      <c r="AJ13" s="75" t="n">
        <f aca="false">AE13+Z13*$B$4</f>
        <v>24.075550344994</v>
      </c>
      <c r="AK13" s="58" t="n">
        <f aca="false">IF(AH13=1,Z13*$B$4/AJ13,1)</f>
        <v>0.392797102320419</v>
      </c>
      <c r="AL13" s="79" t="n">
        <f aca="false">IF(AH13=1,$B$4*AI13/AJ13,AB13)</f>
        <v>3348.26388238396</v>
      </c>
      <c r="AM13" s="19" t="n">
        <f aca="false">AL13*Holdings!$D$15</f>
        <v>1233768.27538084</v>
      </c>
      <c r="AN13" s="80" t="n">
        <f aca="false">AM13/Inputs!$B$14</f>
        <v>932623.989251524</v>
      </c>
      <c r="AO13" s="21" t="n">
        <f aca="false">AN13/(1+Inputs!$B$17)^B13</f>
        <v>824303.711627452</v>
      </c>
      <c r="AP13" s="20" t="n">
        <f aca="false">AL13/Inputs!$B$9</f>
        <v>8.92870368635722</v>
      </c>
    </row>
    <row r="14" customFormat="false" ht="15" hidden="false" customHeight="false" outlineLevel="0" collapsed="false">
      <c r="A14" s="73" t="n">
        <v>2032</v>
      </c>
      <c r="B14" s="73" t="n">
        <f aca="false">A14-2026</f>
        <v>6</v>
      </c>
      <c r="C14" s="74" t="n">
        <f aca="false">MIN(1,B14/Inputs!$B$27)</f>
        <v>1</v>
      </c>
      <c r="D14" s="75" t="n">
        <f aca="false">Inputs!$B$30+($B$33-Inputs!$B$30)*((1/(1+EXP(-$B$35*($A14-$B$34))))-(1/(1+EXP(-$B$35*(2026-$B$34)))))/(1-(1/(1+EXP(-$B$35*(2026-$B$34)))))</f>
        <v>5.63856314434854</v>
      </c>
      <c r="E14" s="76" t="n">
        <f aca="false">E13-J13+D14+J14</f>
        <v>35.7277663466229</v>
      </c>
      <c r="F14" s="76" t="n">
        <f aca="false">MAX($B$37,Inputs!$B$32*(1+$B$36)^B14)</f>
        <v>36.762458805856</v>
      </c>
      <c r="G14" s="24" t="n">
        <f aca="false">D14*F14</f>
        <v>207.287445318331</v>
      </c>
      <c r="H14" s="75" t="n">
        <f aca="false">Inputs!$B$34+($B$39-Inputs!$B$34)*((1/(1+EXP(-$B$41*($A14-$B$40))))-(1/(1+EXP(-$B$41*(2026-$B$40)))))/(1-(1/(1+EXP(-$B$41*(2026-$B$40)))))</f>
        <v>14.6498359877755</v>
      </c>
      <c r="I14" s="24" t="n">
        <f aca="false">H14*$B$42*12/1000</f>
        <v>17.5798031853306</v>
      </c>
      <c r="J14" s="77" t="n">
        <f aca="false">Inputs!$B$35+($B$44-Inputs!$B$35)*((1/(1+EXP(-$B$46*($A14-$B$45))))-(1/(1+EXP(-$B$46*(2026-$B$45)))))/(1-(1/(1+EXP(-$B$46*(2026-$B$45)))))</f>
        <v>4.09031475976387</v>
      </c>
      <c r="K14" s="77" t="n">
        <f aca="false">(J14+J13)/2</f>
        <v>3.38559892824298</v>
      </c>
      <c r="L14" s="75" t="n">
        <f aca="false">MAX($B$48,Inputs!$B$36*(1-Inputs!$B$37)^B14)</f>
        <v>1.1026378359375</v>
      </c>
      <c r="M14" s="24" t="n">
        <f aca="false">K14*$B$47*L14</f>
        <v>223.98536853541</v>
      </c>
      <c r="N14" s="77" t="n">
        <f aca="false">Inputs!$B$39+($B$50-Inputs!$B$39)*((1/(1+EXP(-$B$52*($A14-$B$51))))-(1/(1+EXP(-$B$52*(2026-$B$51)))))/(1-(1/(1+EXP(-$B$52*(2026-$B$51)))))</f>
        <v>1.36365155513507</v>
      </c>
      <c r="O14" s="75" t="n">
        <f aca="false">O13+N14</f>
        <v>3.18214332105118</v>
      </c>
      <c r="P14" s="76" t="n">
        <f aca="false">MAX($B$53,Inputs!$B$40*(1-Inputs!$B$41)^B14)</f>
        <v>30.3177500672</v>
      </c>
      <c r="Q14" s="24" t="n">
        <f aca="false">N14*P14</f>
        <v>41.3428470273337</v>
      </c>
      <c r="R14" s="22" t="n">
        <f aca="false">Inputs!$B$43+($B$55-Inputs!$B$43)*((1/(1+EXP(-$B$57*($A14-$B$56))))-(1/(1+EXP(-$B$57*(2026-$B$56)))))/(1-(1/(1+EXP(-$B$57*(2026-$B$56)))))</f>
        <v>381.392952602635</v>
      </c>
      <c r="S14" s="73" t="n">
        <f aca="false">MAX($B$58,Inputs!$B$44*(1-Inputs!$B$45)^B14)</f>
        <v>191.77565847552</v>
      </c>
      <c r="T14" s="24" t="n">
        <f aca="false">R14*S14/1000</f>
        <v>73.1418846232931</v>
      </c>
      <c r="U14" s="24" t="n">
        <f aca="false">U13*(1+$B$60*Inputs!$B$48^(B14-1))</f>
        <v>35.6608857710292</v>
      </c>
      <c r="V14" s="78" t="n">
        <f aca="false">G14+I14+M14+Q14+T14+U14</f>
        <v>598.998234460727</v>
      </c>
      <c r="W14" s="24" t="n">
        <f aca="false">G14*(Inputs!$B$33+($B$38-Inputs!$B$33)*C14)+I14*$B$43+M14*(Inputs!$B$38+($B$49-Inputs!$B$38)*C14)+Q14*(Inputs!$B$42+($B$54-Inputs!$B$42)*C14)+T14*(Inputs!$B$46+($B$59-Inputs!$B$46)*C14)+U14*$B$61-V14*Inputs!$B$49</f>
        <v>213.958581970006</v>
      </c>
      <c r="X14" s="24" t="n">
        <f aca="false">(W14-V14*(Inputs!$B$50+Inputs!$B$51))*(1-Inputs!$B$52)</f>
        <v>121.706419233908</v>
      </c>
      <c r="Y14" s="76" t="n">
        <f aca="false">$B$62+($B$63-$B$62)*MIN(1,MAX(0,(A14-2027)/(Inputs!$B$26-2027)))</f>
        <v>30.9090909090909</v>
      </c>
      <c r="Z14" s="77" t="n">
        <f aca="false">Inputs!$B$11*(1+$B$64)^B14</f>
        <v>4.06952480706236</v>
      </c>
      <c r="AA14" s="22" t="n">
        <f aca="false">MIN(1,B14/Inputs!$B$25)*(W15*Y14+Inputs!$B$28)+(1-MIN(1,B14/Inputs!$B$25))*Inputs!$B$9*Inputs!$B$11</f>
        <v>8974.09114633752</v>
      </c>
      <c r="AB14" s="79" t="n">
        <f aca="false">AA14/Z14</f>
        <v>2205.19386704896</v>
      </c>
      <c r="AC14" s="22" t="n">
        <f aca="false">Inputs!$B$53+($B$65-Inputs!$B$53)*((1/(1+EXP(-$B$67*($A14-$B$66))))-(1/(1+EXP(-$B$67*(2026-$B$66)))))/(1-(1/(1+EXP(-$B$67*(2026-$B$66)))))</f>
        <v>1652.63598994595</v>
      </c>
      <c r="AD14" s="22" t="n">
        <f aca="false">AC14*(Inputs!$B$54+($B$68-Inputs!$B$54)*C14)</f>
        <v>743.686195475677</v>
      </c>
      <c r="AE14" s="75" t="n">
        <f aca="false">Inputs!$B$13*(1+$B$69)^B14</f>
        <v>14.8380250917016</v>
      </c>
      <c r="AF14" s="22" t="n">
        <f aca="false">MIN(1,B14/Inputs!$B$25)*(AD15*Y14)+(1-MIN(1,B14/Inputs!$B$25))*Inputs!$B$12*Inputs!$B$13</f>
        <v>25934.4474470109</v>
      </c>
      <c r="AG14" s="19" t="n">
        <f aca="false">AF14/AE14</f>
        <v>1747.8368776661</v>
      </c>
      <c r="AH14" s="73" t="n">
        <f aca="false">IF(AND(Inputs!$B$19="Yes",A14&gt;=$B$5),1,0)</f>
        <v>1</v>
      </c>
      <c r="AI14" s="22" t="n">
        <f aca="false">(AA14+AF14)*(1+IF(AH14=1,$B$70*MIN(1,(A14-$B$5+1)/3),0))</f>
        <v>38399.3924526833</v>
      </c>
      <c r="AJ14" s="75" t="n">
        <f aca="false">AE14+Z14*$B$4</f>
        <v>24.342115536046</v>
      </c>
      <c r="AK14" s="58" t="n">
        <f aca="false">IF(AH14=1,Z14*$B$4/AJ14,1)</f>
        <v>0.390438145372807</v>
      </c>
      <c r="AL14" s="79" t="n">
        <f aca="false">IF(AH14=1,$B$4*AI14/AJ14,AB14)</f>
        <v>3684.1125889317</v>
      </c>
      <c r="AM14" s="19" t="n">
        <f aca="false">AL14*Holdings!$D$15</f>
        <v>1357521.80676955</v>
      </c>
      <c r="AN14" s="80" t="n">
        <f aca="false">AM14/Inputs!$B$14</f>
        <v>1026171.14428116</v>
      </c>
      <c r="AO14" s="21" t="n">
        <f aca="false">AN14/(1+Inputs!$B$17)^B14</f>
        <v>884864.161652752</v>
      </c>
      <c r="AP14" s="20" t="n">
        <f aca="false">AL14/Inputs!$B$9</f>
        <v>9.82430023715119</v>
      </c>
    </row>
    <row r="15" customFormat="false" ht="15" hidden="false" customHeight="false" outlineLevel="0" collapsed="false">
      <c r="A15" s="73" t="n">
        <v>2033</v>
      </c>
      <c r="B15" s="73" t="n">
        <f aca="false">A15-2026</f>
        <v>7</v>
      </c>
      <c r="C15" s="74" t="n">
        <f aca="false">MIN(1,B15/Inputs!$B$27)</f>
        <v>1</v>
      </c>
      <c r="D15" s="75" t="n">
        <f aca="false">Inputs!$B$30+($B$33-Inputs!$B$30)*((1/(1+EXP(-$B$35*($A15-$B$34))))-(1/(1+EXP(-$B$35*(2026-$B$34)))))/(1-(1/(1+EXP(-$B$35*(2026-$B$34)))))</f>
        <v>7.10643409883248</v>
      </c>
      <c r="E15" s="76" t="n">
        <f aca="false">E14-J14+D15+J15</f>
        <v>44.6033922612735</v>
      </c>
      <c r="F15" s="76" t="n">
        <f aca="false">MAX($B$37,Inputs!$B$32*(1+$B$36)^B15)</f>
        <v>36.0272096297389</v>
      </c>
      <c r="G15" s="24" t="n">
        <f aca="false">D15*F15</f>
        <v>256.024990998562</v>
      </c>
      <c r="H15" s="75" t="n">
        <f aca="false">Inputs!$B$34+($B$39-Inputs!$B$34)*((1/(1+EXP(-$B$41*($A15-$B$40))))-(1/(1+EXP(-$B$41*(2026-$B$40)))))/(1-(1/(1+EXP(-$B$41*(2026-$B$40)))))</f>
        <v>19.637510128775</v>
      </c>
      <c r="I15" s="24" t="n">
        <f aca="false">H15*$B$42*12/1000</f>
        <v>23.56501215453</v>
      </c>
      <c r="J15" s="77" t="n">
        <f aca="false">Inputs!$B$35+($B$44-Inputs!$B$35)*((1/(1+EXP(-$B$46*($A15-$B$45))))-(1/(1+EXP(-$B$46*(2026-$B$45)))))/(1-(1/(1+EXP(-$B$46*(2026-$B$45)))))</f>
        <v>5.85950657558194</v>
      </c>
      <c r="K15" s="77" t="n">
        <f aca="false">(J15+J14)/2</f>
        <v>4.97491066767291</v>
      </c>
      <c r="L15" s="75" t="n">
        <f aca="false">MAX($B$48,Inputs!$B$36*(1-Inputs!$B$37)^B15)</f>
        <v>1.04750594414062</v>
      </c>
      <c r="M15" s="24" t="n">
        <f aca="false">K15*$B$47*L15</f>
        <v>312.674909757358</v>
      </c>
      <c r="N15" s="77" t="n">
        <f aca="false">Inputs!$B$39+($B$50-Inputs!$B$39)*((1/(1+EXP(-$B$52*($A15-$B$51))))-(1/(1+EXP(-$B$52*(2026-$B$51)))))/(1-(1/(1+EXP(-$B$52*(2026-$B$51)))))</f>
        <v>2.12711642006391</v>
      </c>
      <c r="O15" s="75" t="n">
        <f aca="false">O14+N15</f>
        <v>5.30925974111509</v>
      </c>
      <c r="P15" s="76" t="n">
        <f aca="false">MAX($B$53,Inputs!$B$40*(1-Inputs!$B$41)^B15)</f>
        <v>27.892330061824</v>
      </c>
      <c r="Q15" s="24" t="n">
        <f aca="false">N15*P15</f>
        <v>59.3302332683481</v>
      </c>
      <c r="R15" s="22" t="n">
        <f aca="false">Inputs!$B$43+($B$55-Inputs!$B$43)*((1/(1+EXP(-$B$57*($A15-$B$56))))-(1/(1+EXP(-$B$57*(2026-$B$56)))))/(1-(1/(1+EXP(-$B$57*(2026-$B$56)))))</f>
        <v>491.003135018128</v>
      </c>
      <c r="S15" s="73" t="n">
        <f aca="false">MAX($B$58,Inputs!$B$44*(1-Inputs!$B$45)^B15)</f>
        <v>184.104632136499</v>
      </c>
      <c r="T15" s="24" t="n">
        <f aca="false">R15*S15/1000</f>
        <v>90.3959515503804</v>
      </c>
      <c r="U15" s="24" t="n">
        <f aca="false">U14*(1+$B$60*Inputs!$B$48^(B15-1))</f>
        <v>39.121722225072</v>
      </c>
      <c r="V15" s="78" t="n">
        <f aca="false">G15+I15+M15+Q15+T15+U15</f>
        <v>781.112819954251</v>
      </c>
      <c r="W15" s="24" t="n">
        <f aca="false">G15*(Inputs!$B$33+($B$38-Inputs!$B$33)*C15)+I15*$B$43+M15*(Inputs!$B$38+($B$49-Inputs!$B$38)*C15)+Q15*(Inputs!$B$42+($B$54-Inputs!$B$42)*C15)+T15*(Inputs!$B$46+($B$59-Inputs!$B$46)*C15)+U15*$B$61-V15*Inputs!$B$49</f>
        <v>289.11853708739</v>
      </c>
      <c r="X15" s="24" t="n">
        <f aca="false">(W15-V15*(Inputs!$B$50+Inputs!$B$51))*(1-Inputs!$B$52)</f>
        <v>166.695731522652</v>
      </c>
      <c r="Y15" s="76" t="n">
        <f aca="false">$B$62+($B$63-$B$62)*MIN(1,MAX(0,(A15-2027)/(Inputs!$B$26-2027)))</f>
        <v>29.0909090909091</v>
      </c>
      <c r="Z15" s="77" t="n">
        <f aca="false">Inputs!$B$11*(1+$B$64)^B15</f>
        <v>4.08987243109767</v>
      </c>
      <c r="AA15" s="22" t="n">
        <f aca="false">MIN(1,B15/Inputs!$B$25)*(W16*Y15+Inputs!$B$28)+(1-MIN(1,B15/Inputs!$B$25))*Inputs!$B$9*Inputs!$B$11</f>
        <v>10899.5348750899</v>
      </c>
      <c r="AB15" s="79" t="n">
        <f aca="false">AA15/Z15</f>
        <v>2665.00607505858</v>
      </c>
      <c r="AC15" s="22" t="n">
        <f aca="false">Inputs!$B$53+($B$65-Inputs!$B$53)*((1/(1+EXP(-$B$67*($A15-$B$66))))-(1/(1+EXP(-$B$67*(2026-$B$66)))))/(1-(1/(1+EXP(-$B$67*(2026-$B$66)))))</f>
        <v>1864.56811710536</v>
      </c>
      <c r="AD15" s="22" t="n">
        <f aca="false">AC15*(Inputs!$B$54+($B$68-Inputs!$B$54)*C15)</f>
        <v>839.055652697413</v>
      </c>
      <c r="AE15" s="75" t="n">
        <f aca="false">Inputs!$B$13*(1+$B$69)^B15</f>
        <v>15.0605954680772</v>
      </c>
      <c r="AF15" s="22" t="n">
        <f aca="false">MIN(1,B15/Inputs!$B$25)*(AD16*Y15)+(1-MIN(1,B15/Inputs!$B$25))*Inputs!$B$12*Inputs!$B$13</f>
        <v>26225.3255206065</v>
      </c>
      <c r="AG15" s="19" t="n">
        <f aca="false">AF15/AE15</f>
        <v>1741.3206254822</v>
      </c>
      <c r="AH15" s="73" t="n">
        <f aca="false">IF(AND(Inputs!$B$19="Yes",A15&gt;=$B$5),1,0)</f>
        <v>1</v>
      </c>
      <c r="AI15" s="22" t="n">
        <f aca="false">(AA15+AF15)*(1+IF(AH15=1,$B$70*MIN(1,(A15-$B$5+1)/3),0))</f>
        <v>40837.346435266</v>
      </c>
      <c r="AJ15" s="75" t="n">
        <f aca="false">AE15+Z15*$B$4</f>
        <v>24.6122063646433</v>
      </c>
      <c r="AK15" s="58" t="n">
        <f aca="false">IF(AH15=1,Z15*$B$4/AJ15,1)</f>
        <v>0.38808430073492</v>
      </c>
      <c r="AL15" s="79" t="n">
        <f aca="false">IF(AH15=1,$B$4*AI15/AJ15,AB15)</f>
        <v>3875.01891616371</v>
      </c>
      <c r="AM15" s="19" t="n">
        <f aca="false">AL15*Holdings!$D$15</f>
        <v>1427866.970228</v>
      </c>
      <c r="AN15" s="80" t="n">
        <f aca="false">AM15/Inputs!$B$14</f>
        <v>1079346.11098949</v>
      </c>
      <c r="AO15" s="21" t="n">
        <f aca="false">AN15/(1+Inputs!$B$17)^B15</f>
        <v>908016.359797951</v>
      </c>
      <c r="AP15" s="20" t="n">
        <f aca="false">AL15/Inputs!$B$9</f>
        <v>10.3333837764365</v>
      </c>
    </row>
    <row r="16" customFormat="false" ht="15" hidden="false" customHeight="false" outlineLevel="0" collapsed="false">
      <c r="A16" s="73" t="n">
        <v>2034</v>
      </c>
      <c r="B16" s="73" t="n">
        <f aca="false">A16-2026</f>
        <v>8</v>
      </c>
      <c r="C16" s="74" t="n">
        <f aca="false">MIN(1,B16/Inputs!$B$27)</f>
        <v>1</v>
      </c>
      <c r="D16" s="75" t="n">
        <f aca="false">Inputs!$B$30+($B$33-Inputs!$B$30)*((1/(1+EXP(-$B$35*($A16-$B$34))))-(1/(1+EXP(-$B$35*(2026-$B$34)))))/(1-(1/(1+EXP(-$B$35*(2026-$B$34)))))</f>
        <v>8.812312612982</v>
      </c>
      <c r="E16" s="76" t="n">
        <f aca="false">E15-J15+D16+J16</f>
        <v>55.4106915032026</v>
      </c>
      <c r="F16" s="76" t="n">
        <f aca="false">MAX($B$37,Inputs!$B$32*(1+$B$36)^B16)</f>
        <v>35.3066654371441</v>
      </c>
      <c r="G16" s="24" t="n">
        <f aca="false">D16*F16</f>
        <v>311.133373154081</v>
      </c>
      <c r="H16" s="75" t="n">
        <f aca="false">Inputs!$B$34+($B$39-Inputs!$B$34)*((1/(1+EXP(-$B$41*($A16-$B$40))))-(1/(1+EXP(-$B$41*(2026-$B$40)))))/(1-(1/(1+EXP(-$B$41*(2026-$B$40)))))</f>
        <v>25.1387659167755</v>
      </c>
      <c r="I16" s="24" t="n">
        <f aca="false">H16*$B$42*12/1000</f>
        <v>30.1665191001306</v>
      </c>
      <c r="J16" s="77" t="n">
        <f aca="false">Inputs!$B$35+($B$44-Inputs!$B$35)*((1/(1+EXP(-$B$46*($A16-$B$45))))-(1/(1+EXP(-$B$46*(2026-$B$45)))))/(1-(1/(1+EXP(-$B$46*(2026-$B$45)))))</f>
        <v>7.85449320452902</v>
      </c>
      <c r="K16" s="77" t="n">
        <f aca="false">(J16+J15)/2</f>
        <v>6.85699989005548</v>
      </c>
      <c r="L16" s="75" t="n">
        <f aca="false">MAX($B$48,Inputs!$B$36*(1-Inputs!$B$37)^B16)</f>
        <v>1</v>
      </c>
      <c r="M16" s="24" t="n">
        <f aca="false">K16*$B$47*L16</f>
        <v>411.419993403329</v>
      </c>
      <c r="N16" s="77" t="n">
        <f aca="false">Inputs!$B$39+($B$50-Inputs!$B$39)*((1/(1+EXP(-$B$52*($A16-$B$51))))-(1/(1+EXP(-$B$52*(2026-$B$51)))))/(1-(1/(1+EXP(-$B$52*(2026-$B$51)))))</f>
        <v>3.17186697103044</v>
      </c>
      <c r="O16" s="75" t="n">
        <f aca="false">O15+N16</f>
        <v>8.48112671214553</v>
      </c>
      <c r="P16" s="76" t="n">
        <f aca="false">MAX($B$53,Inputs!$B$40*(1-Inputs!$B$41)^B16)</f>
        <v>25.6609436568781</v>
      </c>
      <c r="Q16" s="24" t="n">
        <f aca="false">N16*P16</f>
        <v>81.3930996307248</v>
      </c>
      <c r="R16" s="22" t="n">
        <f aca="false">Inputs!$B$43+($B$55-Inputs!$B$43)*((1/(1+EXP(-$B$57*($A16-$B$56))))-(1/(1+EXP(-$B$57*(2026-$B$56)))))/(1-(1/(1+EXP(-$B$57*(2026-$B$56)))))</f>
        <v>614.178195523943</v>
      </c>
      <c r="S16" s="73" t="n">
        <f aca="false">MAX($B$58,Inputs!$B$44*(1-Inputs!$B$45)^B16)</f>
        <v>176.740446851039</v>
      </c>
      <c r="T16" s="24" t="n">
        <f aca="false">R16*S16/1000</f>
        <v>108.550128723067</v>
      </c>
      <c r="U16" s="24" t="n">
        <f aca="false">U15*(1+$B$60*Inputs!$B$48^(B16-1))</f>
        <v>42.6526583734459</v>
      </c>
      <c r="V16" s="78" t="n">
        <f aca="false">G16+I16+M16+Q16+T16+U16</f>
        <v>985.315772384777</v>
      </c>
      <c r="W16" s="24" t="n">
        <f aca="false">G16*(Inputs!$B$33+($B$38-Inputs!$B$33)*C16)+I16*$B$43+M16*(Inputs!$B$38+($B$49-Inputs!$B$38)*C16)+Q16*(Inputs!$B$42+($B$54-Inputs!$B$42)*C16)+T16*(Inputs!$B$46+($B$59-Inputs!$B$46)*C16)+U16*$B$61-V16*Inputs!$B$49</f>
        <v>373.375573831214</v>
      </c>
      <c r="X16" s="24" t="n">
        <f aca="false">(W16-V16*(Inputs!$B$50+Inputs!$B$51))*(1-Inputs!$B$52)</f>
        <v>217.126757308262</v>
      </c>
      <c r="Y16" s="76" t="n">
        <f aca="false">$B$62+($B$63-$B$62)*MIN(1,MAX(0,(A16-2027)/(Inputs!$B$26-2027)))</f>
        <v>27.2727272727273</v>
      </c>
      <c r="Z16" s="77" t="n">
        <f aca="false">Inputs!$B$11*(1+$B$64)^B16</f>
        <v>4.11032179325316</v>
      </c>
      <c r="AA16" s="22" t="n">
        <f aca="false">MIN(1,B16/Inputs!$B$25)*(W17*Y16+Inputs!$B$28)+(1-MIN(1,B16/Inputs!$B$25))*Inputs!$B$9*Inputs!$B$11</f>
        <v>12883.8562280273</v>
      </c>
      <c r="AB16" s="79" t="n">
        <f aca="false">AA16/Z16</f>
        <v>3134.51278904133</v>
      </c>
      <c r="AC16" s="22" t="n">
        <f aca="false">Inputs!$B$53+($B$65-Inputs!$B$53)*((1/(1+EXP(-$B$67*($A16-$B$66))))-(1/(1+EXP(-$B$67*(2026-$B$66)))))/(1-(1/(1+EXP(-$B$67*(2026-$B$66)))))</f>
        <v>2003.32347726855</v>
      </c>
      <c r="AD16" s="22" t="n">
        <f aca="false">AC16*(Inputs!$B$54+($B$68-Inputs!$B$54)*C16)</f>
        <v>901.495564770849</v>
      </c>
      <c r="AE16" s="75" t="n">
        <f aca="false">Inputs!$B$13*(1+$B$69)^B16</f>
        <v>15.2865044000983</v>
      </c>
      <c r="AF16" s="22" t="n">
        <f aca="false">MIN(1,B16/Inputs!$B$25)*(AD17*Y16)+(1-MIN(1,B16/Inputs!$B$25))*Inputs!$B$12*Inputs!$B$13</f>
        <v>25623.6523092855</v>
      </c>
      <c r="AG16" s="19" t="n">
        <f aca="false">AF16/AE16</f>
        <v>1676.22705875915</v>
      </c>
      <c r="AH16" s="73" t="n">
        <f aca="false">IF(AND(Inputs!$B$19="Yes",A16&gt;=$B$5),1,0)</f>
        <v>1</v>
      </c>
      <c r="AI16" s="22" t="n">
        <f aca="false">(AA16+AF16)*(1+IF(AH16=1,$B$70*MIN(1,(A16-$B$5+1)/3),0))</f>
        <v>42358.2593910441</v>
      </c>
      <c r="AJ16" s="75" t="n">
        <f aca="false">AE16+Z16*$B$4</f>
        <v>24.8858733511473</v>
      </c>
      <c r="AK16" s="58" t="n">
        <f aca="false">IF(AH16=1,Z16*$B$4/AJ16,1)</f>
        <v>0.385735666801761</v>
      </c>
      <c r="AL16" s="79" t="n">
        <f aca="false">IF(AH16=1,$B$4*AI16/AJ16,AB16)</f>
        <v>3975.13680257006</v>
      </c>
      <c r="AM16" s="19" t="n">
        <f aca="false">AL16*Holdings!$D$15</f>
        <v>1464758.40901101</v>
      </c>
      <c r="AN16" s="80" t="n">
        <f aca="false">AM16/Inputs!$B$14</f>
        <v>1107232.90423389</v>
      </c>
      <c r="AO16" s="21" t="n">
        <f aca="false">AN16/(1+Inputs!$B$17)^B16</f>
        <v>908757.609241387</v>
      </c>
      <c r="AP16" s="20" t="n">
        <f aca="false">AL16/Inputs!$B$9</f>
        <v>10.6003648068535</v>
      </c>
    </row>
    <row r="17" customFormat="false" ht="15" hidden="false" customHeight="false" outlineLevel="0" collapsed="false">
      <c r="A17" s="73" t="n">
        <v>2035</v>
      </c>
      <c r="B17" s="73" t="n">
        <f aca="false">A17-2026</f>
        <v>9</v>
      </c>
      <c r="C17" s="74" t="n">
        <f aca="false">MIN(1,B17/Inputs!$B$27)</f>
        <v>1</v>
      </c>
      <c r="D17" s="75" t="n">
        <f aca="false">Inputs!$B$30+($B$33-Inputs!$B$30)*((1/(1+EXP(-$B$35*($A17-$B$34))))-(1/(1+EXP(-$B$35*(2026-$B$34)))))/(1-(1/(1+EXP(-$B$35*(2026-$B$34)))))</f>
        <v>10.6564907443419</v>
      </c>
      <c r="E17" s="76" t="n">
        <f aca="false">E16-J16+D17+J17</f>
        <v>68.0621688764915</v>
      </c>
      <c r="F17" s="76" t="n">
        <f aca="false">MAX($B$37,Inputs!$B$32*(1+$B$36)^B17)</f>
        <v>34.6005321284012</v>
      </c>
      <c r="G17" s="24" t="n">
        <f aca="false">D17*F17</f>
        <v>368.720250375611</v>
      </c>
      <c r="H17" s="75" t="n">
        <f aca="false">Inputs!$B$34+($B$39-Inputs!$B$34)*((1/(1+EXP(-$B$41*($A17-$B$40))))-(1/(1+EXP(-$B$41*(2026-$B$40)))))/(1-(1/(1+EXP(-$B$41*(2026-$B$40)))))</f>
        <v>30.640021704776</v>
      </c>
      <c r="I17" s="24" t="n">
        <f aca="false">H17*$B$42*12/1000</f>
        <v>36.7680260457312</v>
      </c>
      <c r="J17" s="77" t="n">
        <f aca="false">Inputs!$B$35+($B$44-Inputs!$B$35)*((1/(1+EXP(-$B$46*($A17-$B$45))))-(1/(1+EXP(-$B$46*(2026-$B$45)))))/(1-(1/(1+EXP(-$B$46*(2026-$B$45)))))</f>
        <v>9.84947983347609</v>
      </c>
      <c r="K17" s="77" t="n">
        <f aca="false">(J17+J16)/2</f>
        <v>8.85198651900255</v>
      </c>
      <c r="L17" s="75" t="n">
        <f aca="false">MAX($B$48,Inputs!$B$36*(1-Inputs!$B$37)^B17)</f>
        <v>1</v>
      </c>
      <c r="M17" s="24" t="n">
        <f aca="false">K17*$B$47*L17</f>
        <v>531.119191140153</v>
      </c>
      <c r="N17" s="77" t="n">
        <f aca="false">Inputs!$B$39+($B$50-Inputs!$B$39)*((1/(1+EXP(-$B$52*($A17-$B$51))))-(1/(1+EXP(-$B$52*(2026-$B$51)))))/(1-(1/(1+EXP(-$B$52*(2026-$B$51)))))</f>
        <v>4.48329211693098</v>
      </c>
      <c r="O17" s="75" t="n">
        <f aca="false">O16+N17</f>
        <v>12.9644188290765</v>
      </c>
      <c r="P17" s="76" t="n">
        <f aca="false">MAX($B$53,Inputs!$B$40*(1-Inputs!$B$41)^B17)</f>
        <v>23.6080681643278</v>
      </c>
      <c r="Q17" s="24" t="n">
        <f aca="false">N17*P17</f>
        <v>105.8418658971</v>
      </c>
      <c r="R17" s="22" t="n">
        <f aca="false">Inputs!$B$43+($B$55-Inputs!$B$43)*((1/(1+EXP(-$B$57*($A17-$B$56))))-(1/(1+EXP(-$B$57*(2026-$B$56)))))/(1-(1/(1+EXP(-$B$57*(2026-$B$56)))))</f>
        <v>744.975060148263</v>
      </c>
      <c r="S17" s="73" t="n">
        <f aca="false">MAX($B$58,Inputs!$B$44*(1-Inputs!$B$45)^B17)</f>
        <v>169.670828976998</v>
      </c>
      <c r="T17" s="24" t="n">
        <f aca="false">R17*S17/1000</f>
        <v>126.400536022544</v>
      </c>
      <c r="U17" s="24" t="n">
        <f aca="false">U16*(1+$B$60*Inputs!$B$48^(B17-1))</f>
        <v>46.2328061373916</v>
      </c>
      <c r="V17" s="78" t="n">
        <f aca="false">G17+I17+M17+Q17+T17+U17</f>
        <v>1215.08267561853</v>
      </c>
      <c r="W17" s="24" t="n">
        <f aca="false">G17*(Inputs!$B$33+($B$38-Inputs!$B$33)*C17)+I17*$B$43+M17*(Inputs!$B$38+($B$49-Inputs!$B$38)*C17)+Q17*(Inputs!$B$42+($B$54-Inputs!$B$42)*C17)+T17*(Inputs!$B$46+($B$59-Inputs!$B$46)*C17)+U17*$B$61-V17*Inputs!$B$49</f>
        <v>471.025728361001</v>
      </c>
      <c r="X17" s="24" t="n">
        <f aca="false">(W17-V17*(Inputs!$B$50+Inputs!$B$51))*(1-Inputs!$B$52)</f>
        <v>276.118794031327</v>
      </c>
      <c r="Y17" s="76" t="n">
        <f aca="false">$B$62+($B$63-$B$62)*MIN(1,MAX(0,(A17-2027)/(Inputs!$B$26-2027)))</f>
        <v>25.4545454545455</v>
      </c>
      <c r="Z17" s="77" t="n">
        <f aca="false">Inputs!$B$11*(1+$B$64)^B17</f>
        <v>4.13087340221942</v>
      </c>
      <c r="AA17" s="22" t="n">
        <f aca="false">MIN(1,B17/Inputs!$B$25)*(W18*Y17+Inputs!$B$28)+(1-MIN(1,B17/Inputs!$B$25))*Inputs!$B$9*Inputs!$B$11</f>
        <v>14373.9591596531</v>
      </c>
      <c r="AB17" s="79" t="n">
        <f aca="false">AA17/Z17</f>
        <v>3479.64165445746</v>
      </c>
      <c r="AC17" s="22" t="n">
        <f aca="false">Inputs!$B$53+($B$65-Inputs!$B$53)*((1/(1+EXP(-$B$67*($A17-$B$66))))-(1/(1+EXP(-$B$67*(2026-$B$66)))))/(1-(1/(1+EXP(-$B$67*(2026-$B$66)))))</f>
        <v>2087.85315112697</v>
      </c>
      <c r="AD17" s="22" t="n">
        <f aca="false">AC17*(Inputs!$B$54+($B$68-Inputs!$B$54)*C17)</f>
        <v>939.533918007136</v>
      </c>
      <c r="AE17" s="75" t="n">
        <f aca="false">Inputs!$B$13*(1+$B$69)^B17</f>
        <v>15.5158019660998</v>
      </c>
      <c r="AF17" s="22" t="n">
        <f aca="false">MIN(1,B17/Inputs!$B$25)*(AD18*Y17)+(1-MIN(1,B17/Inputs!$B$25))*Inputs!$B$12*Inputs!$B$13</f>
        <v>24479.5859934461</v>
      </c>
      <c r="AG17" s="19" t="n">
        <f aca="false">AF17/AE17</f>
        <v>1577.71967230125</v>
      </c>
      <c r="AH17" s="73" t="n">
        <f aca="false">IF(AND(Inputs!$B$19="Yes",A17&gt;=$B$5),1,0)</f>
        <v>1</v>
      </c>
      <c r="AI17" s="22" t="n">
        <f aca="false">(AA17+AF17)*(1+IF(AH17=1,$B$70*MIN(1,(A17-$B$5+1)/3),0))</f>
        <v>42738.8996684091</v>
      </c>
      <c r="AJ17" s="75" t="n">
        <f aca="false">AE17+Z17*$B$4</f>
        <v>25.163167761904</v>
      </c>
      <c r="AK17" s="58" t="n">
        <f aca="false">IF(AH17=1,Z17*$B$4/AJ17,1)</f>
        <v>0.383392341023531</v>
      </c>
      <c r="AL17" s="79" t="n">
        <f aca="false">IF(AH17=1,$B$4*AI17/AJ17,AB17)</f>
        <v>3966.65915441453</v>
      </c>
      <c r="AM17" s="19" t="n">
        <f aca="false">AL17*Holdings!$D$15</f>
        <v>1461634.56521867</v>
      </c>
      <c r="AN17" s="80" t="n">
        <f aca="false">AM17/Inputs!$B$14</f>
        <v>1104871.5437438</v>
      </c>
      <c r="AO17" s="21" t="n">
        <f aca="false">AN17/(1+Inputs!$B$17)^B17</f>
        <v>884701.981187012</v>
      </c>
      <c r="AP17" s="20" t="n">
        <f aca="false">AL17/Inputs!$B$9</f>
        <v>10.5777577451054</v>
      </c>
    </row>
    <row r="18" customFormat="false" ht="15" hidden="false" customHeight="false" outlineLevel="0" collapsed="false">
      <c r="A18" s="73" t="n">
        <v>2036</v>
      </c>
      <c r="B18" s="73" t="n">
        <f aca="false">A18-2026</f>
        <v>10</v>
      </c>
      <c r="C18" s="74" t="n">
        <f aca="false">MIN(1,B18/Inputs!$B$27)</f>
        <v>1</v>
      </c>
      <c r="D18" s="75" t="n">
        <f aca="false">Inputs!$B$30+($B$33-Inputs!$B$30)*((1/(1+EXP(-$B$35*($A18-$B$34))))-(1/(1+EXP(-$B$35*(2026-$B$34)))))/(1-(1/(1+EXP(-$B$35*(2026-$B$34)))))</f>
        <v>12.5006688757018</v>
      </c>
      <c r="E18" s="76" t="n">
        <f aca="false">E17-J17+D18+J18</f>
        <v>82.3320295680113</v>
      </c>
      <c r="F18" s="76" t="n">
        <f aca="false">MAX($B$37,Inputs!$B$32*(1+$B$36)^B18)</f>
        <v>33.9085214858332</v>
      </c>
      <c r="G18" s="24" t="n">
        <f aca="false">D18*F18</f>
        <v>423.879199159019</v>
      </c>
      <c r="H18" s="75" t="n">
        <f aca="false">Inputs!$B$34+($B$39-Inputs!$B$34)*((1/(1+EXP(-$B$41*($A18-$B$40))))-(1/(1+EXP(-$B$41*(2026-$B$40)))))/(1-(1/(1+EXP(-$B$41*(2026-$B$40)))))</f>
        <v>35.6276958457755</v>
      </c>
      <c r="I18" s="24" t="n">
        <f aca="false">H18*$B$42*12/1000</f>
        <v>42.7532350149306</v>
      </c>
      <c r="J18" s="77" t="n">
        <f aca="false">Inputs!$B$35+($B$44-Inputs!$B$35)*((1/(1+EXP(-$B$46*($A18-$B$45))))-(1/(1+EXP(-$B$46*(2026-$B$45)))))/(1-(1/(1+EXP(-$B$46*(2026-$B$45)))))</f>
        <v>11.6186716492942</v>
      </c>
      <c r="K18" s="77" t="n">
        <f aca="false">(J18+J17)/2</f>
        <v>10.7340757413851</v>
      </c>
      <c r="L18" s="75" t="n">
        <f aca="false">MAX($B$48,Inputs!$B$36*(1-Inputs!$B$37)^B18)</f>
        <v>1</v>
      </c>
      <c r="M18" s="24" t="n">
        <f aca="false">K18*$B$47*L18</f>
        <v>644.044544483108</v>
      </c>
      <c r="N18" s="77" t="n">
        <f aca="false">Inputs!$B$39+($B$50-Inputs!$B$39)*((1/(1+EXP(-$B$52*($A18-$B$51))))-(1/(1+EXP(-$B$52*(2026-$B$51)))))/(1-(1/(1+EXP(-$B$52*(2026-$B$51)))))</f>
        <v>5.96208916287298</v>
      </c>
      <c r="O18" s="75" t="n">
        <f aca="false">O17+N18</f>
        <v>18.9265079919495</v>
      </c>
      <c r="P18" s="76" t="n">
        <f aca="false">MAX($B$53,Inputs!$B$40*(1-Inputs!$B$41)^B18)</f>
        <v>21.7194227111816</v>
      </c>
      <c r="Q18" s="24" t="n">
        <f aca="false">N18*P18</f>
        <v>129.493134770193</v>
      </c>
      <c r="R18" s="22" t="n">
        <f aca="false">Inputs!$B$43+($B$55-Inputs!$B$43)*((1/(1+EXP(-$B$57*($A18-$B$56))))-(1/(1+EXP(-$B$57*(2026-$B$56)))))/(1-(1/(1+EXP(-$B$57*(2026-$B$56)))))</f>
        <v>875.771924772584</v>
      </c>
      <c r="S18" s="73" t="n">
        <f aca="false">MAX($B$58,Inputs!$B$44*(1-Inputs!$B$45)^B18)</f>
        <v>162.883995817918</v>
      </c>
      <c r="T18" s="24" t="n">
        <f aca="false">R18*S18/1000</f>
        <v>142.649230532107</v>
      </c>
      <c r="U18" s="24" t="n">
        <f aca="false">U17*(1+$B$60*Inputs!$B$48^(B18-1))</f>
        <v>49.8418158441251</v>
      </c>
      <c r="V18" s="78" t="n">
        <f aca="false">G18+I18+M18+Q18+T18+U18</f>
        <v>1432.66115980348</v>
      </c>
      <c r="W18" s="24" t="n">
        <f aca="false">G18*(Inputs!$B$33+($B$38-Inputs!$B$33)*C18)+I18*$B$43+M18*(Inputs!$B$38+($B$49-Inputs!$B$38)*C18)+Q18*(Inputs!$B$42+($B$54-Inputs!$B$42)*C18)+T18*(Inputs!$B$46+($B$59-Inputs!$B$46)*C18)+U18*$B$61-V18*Inputs!$B$49</f>
        <v>563.210181272086</v>
      </c>
      <c r="X18" s="24" t="n">
        <f aca="false">(W18-V18*(Inputs!$B$50+Inputs!$B$51))*(1-Inputs!$B$52)</f>
        <v>331.755811580473</v>
      </c>
      <c r="Y18" s="76" t="n">
        <f aca="false">$B$62+($B$63-$B$62)*MIN(1,MAX(0,(A18-2027)/(Inputs!$B$26-2027)))</f>
        <v>23.6363636363636</v>
      </c>
      <c r="Z18" s="77" t="n">
        <f aca="false">Inputs!$B$11*(1+$B$64)^B18</f>
        <v>4.15152776923052</v>
      </c>
      <c r="AA18" s="22" t="n">
        <f aca="false">MIN(1,B18/Inputs!$B$25)*(W19*Y18+Inputs!$B$28)+(1-MIN(1,B18/Inputs!$B$25))*Inputs!$B$9*Inputs!$B$11</f>
        <v>15189.41922496</v>
      </c>
      <c r="AB18" s="79" t="n">
        <f aca="false">AA18/Z18</f>
        <v>3658.75409470653</v>
      </c>
      <c r="AC18" s="22" t="n">
        <f aca="false">Inputs!$B$53+($B$65-Inputs!$B$53)*((1/(1+EXP(-$B$67*($A18-$B$66))))-(1/(1+EXP(-$B$67*(2026-$B$66)))))/(1-(1/(1+EXP(-$B$67*(2026-$B$66)))))</f>
        <v>2137.10671371355</v>
      </c>
      <c r="AD18" s="22" t="n">
        <f aca="false">AC18*(Inputs!$B$54+($B$68-Inputs!$B$54)*C18)</f>
        <v>961.698021171096</v>
      </c>
      <c r="AE18" s="75" t="n">
        <f aca="false">Inputs!$B$13*(1+$B$69)^B18</f>
        <v>15.7485389955913</v>
      </c>
      <c r="AF18" s="22" t="n">
        <f aca="false">MIN(1,B18/Inputs!$B$25)*(AD19*Y18)+(1-MIN(1,B18/Inputs!$B$25))*Inputs!$B$12*Inputs!$B$13</f>
        <v>23028.4100646121</v>
      </c>
      <c r="AG18" s="19" t="n">
        <f aca="false">AF18/AE18</f>
        <v>1462.25691608972</v>
      </c>
      <c r="AH18" s="73" t="n">
        <f aca="false">IF(AND(Inputs!$B$19="Yes",A18&gt;=$B$5),1,0)</f>
        <v>1</v>
      </c>
      <c r="AI18" s="22" t="n">
        <f aca="false">(AA18+AF18)*(1+IF(AH18=1,$B$70*MIN(1,(A18-$B$5+1)/3),0))</f>
        <v>42039.6122185293</v>
      </c>
      <c r="AJ18" s="75" t="n">
        <f aca="false">AE18+Z18*$B$4</f>
        <v>25.4441416203745</v>
      </c>
      <c r="AK18" s="58" t="n">
        <f aca="false">IF(AH18=1,Z18*$B$4/AJ18,1)</f>
        <v>0.381054419891274</v>
      </c>
      <c r="AL18" s="79" t="n">
        <f aca="false">IF(AH18=1,$B$4*AI18/AJ18,AB18)</f>
        <v>3858.67105722262</v>
      </c>
      <c r="AM18" s="19" t="n">
        <f aca="false">AL18*Holdings!$D$15</f>
        <v>1421843.11116539</v>
      </c>
      <c r="AN18" s="80" t="n">
        <f aca="false">AM18/Inputs!$B$14</f>
        <v>1074792.58535444</v>
      </c>
      <c r="AO18" s="21" t="n">
        <f aca="false">AN18/(1+Inputs!$B$17)^B18</f>
        <v>839626.249865553</v>
      </c>
      <c r="AP18" s="20" t="n">
        <f aca="false">AL18/Inputs!$B$9</f>
        <v>10.289789485927</v>
      </c>
    </row>
    <row r="19" customFormat="false" ht="15" hidden="false" customHeight="false" outlineLevel="0" collapsed="false">
      <c r="A19" s="73" t="n">
        <v>2037</v>
      </c>
      <c r="B19" s="73" t="n">
        <f aca="false">A19-2026</f>
        <v>11</v>
      </c>
      <c r="C19" s="74" t="n">
        <f aca="false">MIN(1,B19/Inputs!$B$27)</f>
        <v>1</v>
      </c>
      <c r="D19" s="75" t="n">
        <f aca="false">Inputs!$B$30+($B$33-Inputs!$B$30)*((1/(1+EXP(-$B$35*($A19-$B$34))))-(1/(1+EXP(-$B$35*(2026-$B$34)))))/(1-(1/(1+EXP(-$B$35*(2026-$B$34)))))</f>
        <v>14.2065473898513</v>
      </c>
      <c r="E19" s="76" t="n">
        <f aca="false">E18-J18+D19+J19</f>
        <v>97.9480086209044</v>
      </c>
      <c r="F19" s="76" t="n">
        <f aca="false">MAX($B$37,Inputs!$B$32*(1+$B$36)^B19)</f>
        <v>33.2303510561165</v>
      </c>
      <c r="G19" s="24" t="n">
        <f aca="false">D19*F19</f>
        <v>472.088557060114</v>
      </c>
      <c r="H19" s="75" t="n">
        <f aca="false">Inputs!$B$34+($B$39-Inputs!$B$34)*((1/(1+EXP(-$B$41*($A19-$B$40))))-(1/(1+EXP(-$B$41*(2026-$B$40)))))/(1-(1/(1+EXP(-$B$41*(2026-$B$40)))))</f>
        <v>39.7636169917124</v>
      </c>
      <c r="I19" s="24" t="n">
        <f aca="false">H19*$B$42*12/1000</f>
        <v>47.7163403900549</v>
      </c>
      <c r="J19" s="77" t="n">
        <f aca="false">Inputs!$B$35+($B$44-Inputs!$B$35)*((1/(1+EXP(-$B$46*($A19-$B$45))))-(1/(1+EXP(-$B$46*(2026-$B$45)))))/(1-(1/(1+EXP(-$B$46*(2026-$B$45)))))</f>
        <v>13.0281033123359</v>
      </c>
      <c r="K19" s="77" t="n">
        <f aca="false">(J19+J18)/2</f>
        <v>12.3233874808151</v>
      </c>
      <c r="L19" s="75" t="n">
        <f aca="false">MAX($B$48,Inputs!$B$36*(1-Inputs!$B$37)^B19)</f>
        <v>1</v>
      </c>
      <c r="M19" s="24" t="n">
        <f aca="false">K19*$B$47*L19</f>
        <v>739.403248848903</v>
      </c>
      <c r="N19" s="77" t="n">
        <f aca="false">Inputs!$B$39+($B$50-Inputs!$B$39)*((1/(1+EXP(-$B$52*($A19-$B$51))))-(1/(1+EXP(-$B$52*(2026-$B$51)))))/(1-(1/(1+EXP(-$B$52*(2026-$B$51)))))</f>
        <v>7.44088620881499</v>
      </c>
      <c r="O19" s="75" t="n">
        <f aca="false">O18+N19</f>
        <v>26.3673942007645</v>
      </c>
      <c r="P19" s="76" t="n">
        <f aca="false">MAX($B$53,Inputs!$B$40*(1-Inputs!$B$41)^B19)</f>
        <v>20</v>
      </c>
      <c r="Q19" s="24" t="n">
        <f aca="false">N19*P19</f>
        <v>148.8177241763</v>
      </c>
      <c r="R19" s="22" t="n">
        <f aca="false">Inputs!$B$43+($B$55-Inputs!$B$43)*((1/(1+EXP(-$B$57*($A19-$B$56))))-(1/(1+EXP(-$B$57*(2026-$B$56)))))/(1-(1/(1+EXP(-$B$57*(2026-$B$56)))))</f>
        <v>998.946985278398</v>
      </c>
      <c r="S19" s="73" t="n">
        <f aca="false">MAX($B$58,Inputs!$B$44*(1-Inputs!$B$45)^B19)</f>
        <v>156.368635985201</v>
      </c>
      <c r="T19" s="24" t="n">
        <f aca="false">R19*S19/1000</f>
        <v>156.203977509512</v>
      </c>
      <c r="U19" s="24" t="n">
        <f aca="false">U18*(1+$B$60*Inputs!$B$48^(B19-1))</f>
        <v>53.4601993980619</v>
      </c>
      <c r="V19" s="78" t="n">
        <f aca="false">G19+I19+M19+Q19+T19+U19</f>
        <v>1617.69004738294</v>
      </c>
      <c r="W19" s="24" t="n">
        <f aca="false">G19*(Inputs!$B$33+($B$38-Inputs!$B$33)*C19)+I19*$B$43+M19*(Inputs!$B$38+($B$49-Inputs!$B$38)*C19)+Q19*(Inputs!$B$42+($B$54-Inputs!$B$42)*C19)+T19*(Inputs!$B$46+($B$59-Inputs!$B$46)*C19)+U19*$B$61-V19*Inputs!$B$49</f>
        <v>641.034274902154</v>
      </c>
      <c r="X19" s="24" t="n">
        <f aca="false">(W19-V19*(Inputs!$B$50+Inputs!$B$51))*(1-Inputs!$B$52)</f>
        <v>378.619563429449</v>
      </c>
      <c r="Y19" s="76" t="n">
        <f aca="false">$B$62+($B$63-$B$62)*MIN(1,MAX(0,(A19-2027)/(Inputs!$B$26-2027)))</f>
        <v>21.8181818181818</v>
      </c>
      <c r="Z19" s="77" t="n">
        <f aca="false">Inputs!$B$11*(1+$B$64)^B19</f>
        <v>4.17228540807667</v>
      </c>
      <c r="AA19" s="22" t="n">
        <f aca="false">MIN(1,B19/Inputs!$B$25)*(W20*Y19+Inputs!$B$28)+(1-MIN(1,B19/Inputs!$B$25))*Inputs!$B$9*Inputs!$B$11</f>
        <v>15427.8145920071</v>
      </c>
      <c r="AB19" s="79" t="n">
        <f aca="false">AA19/Z19</f>
        <v>3697.68917585123</v>
      </c>
      <c r="AC19" s="22" t="n">
        <f aca="false">Inputs!$B$53+($B$65-Inputs!$B$53)*((1/(1+EXP(-$B$67*($A19-$B$66))))-(1/(1+EXP(-$B$67*(2026-$B$66)))))/(1-(1/(1+EXP(-$B$67*(2026-$B$66)))))</f>
        <v>2165.06419410883</v>
      </c>
      <c r="AD19" s="22" t="n">
        <f aca="false">AC19*(Inputs!$B$54+($B$68-Inputs!$B$54)*C19)</f>
        <v>974.278887348972</v>
      </c>
      <c r="AE19" s="75" t="n">
        <f aca="false">Inputs!$B$13*(1+$B$69)^B19</f>
        <v>15.9847670805251</v>
      </c>
      <c r="AF19" s="22" t="n">
        <f aca="false">MIN(1,B19/Inputs!$B$25)*(AD20*Y19)+(1-MIN(1,B19/Inputs!$B$25))*Inputs!$B$12*Inputs!$B$13</f>
        <v>21410.491021812</v>
      </c>
      <c r="AG19" s="19" t="n">
        <f aca="false">AF19/AE19</f>
        <v>1339.43090405723</v>
      </c>
      <c r="AH19" s="73" t="n">
        <f aca="false">IF(AND(Inputs!$B$19="Yes",A19&gt;=$B$5),1,0)</f>
        <v>1</v>
      </c>
      <c r="AI19" s="22" t="n">
        <f aca="false">(AA19+AF19)*(1+IF(AH19=1,$B$70*MIN(1,(A19-$B$5+1)/3),0))</f>
        <v>40522.136175201</v>
      </c>
      <c r="AJ19" s="75" t="n">
        <f aca="false">AE19+Z19*$B$4</f>
        <v>25.7288477184323</v>
      </c>
      <c r="AK19" s="58" t="n">
        <f aca="false">IF(AH19=1,Z19*$B$4/AJ19,1)</f>
        <v>0.378721998922884</v>
      </c>
      <c r="AL19" s="79" t="n">
        <f aca="false">IF(AH19=1,$B$4*AI19/AJ19,AB19)</f>
        <v>3678.22977382841</v>
      </c>
      <c r="AM19" s="19" t="n">
        <f aca="false">AL19*Holdings!$D$15</f>
        <v>1355354.10706029</v>
      </c>
      <c r="AN19" s="80" t="n">
        <f aca="false">AM19/Inputs!$B$14</f>
        <v>1024532.54747925</v>
      </c>
      <c r="AO19" s="21" t="n">
        <f aca="false">AN19/(1+Inputs!$B$17)^B19</f>
        <v>780842.135226121</v>
      </c>
      <c r="AP19" s="20" t="n">
        <f aca="false">AL19/Inputs!$B$9</f>
        <v>9.8086127302091</v>
      </c>
    </row>
    <row r="20" customFormat="false" ht="15" hidden="false" customHeight="false" outlineLevel="0" collapsed="false">
      <c r="A20" s="73" t="n">
        <v>2038</v>
      </c>
      <c r="B20" s="73" t="n">
        <f aca="false">A20-2026</f>
        <v>12</v>
      </c>
      <c r="C20" s="74" t="n">
        <f aca="false">MIN(1,B20/Inputs!$B$27)</f>
        <v>1</v>
      </c>
      <c r="D20" s="75" t="n">
        <f aca="false">Inputs!$B$30+($B$33-Inputs!$B$30)*((1/(1+EXP(-$B$35*($A20-$B$34))))-(1/(1+EXP(-$B$35*(2026-$B$34)))))/(1-(1/(1+EXP(-$B$35*(2026-$B$34)))))</f>
        <v>15.6744183443352</v>
      </c>
      <c r="E20" s="76" t="n">
        <f aca="false">E19-J19+D20+J20</f>
        <v>114.652387230161</v>
      </c>
      <c r="F20" s="76" t="n">
        <f aca="false">MAX($B$37,Inputs!$B$32*(1+$B$36)^B20)</f>
        <v>32.5657440349942</v>
      </c>
      <c r="G20" s="24" t="n">
        <f aca="false">D20*F20</f>
        <v>510.449095699038</v>
      </c>
      <c r="H20" s="75" t="n">
        <f aca="false">Inputs!$B$34+($B$39-Inputs!$B$34)*((1/(1+EXP(-$B$41*($A20-$B$40))))-(1/(1+EXP(-$B$41*(2026-$B$40)))))/(1-(1/(1+EXP(-$B$41*(2026-$B$40)))))</f>
        <v>42.9468149411086</v>
      </c>
      <c r="I20" s="24" t="n">
        <f aca="false">H20*$B$42*12/1000</f>
        <v>51.5361779293303</v>
      </c>
      <c r="J20" s="77" t="n">
        <f aca="false">Inputs!$B$35+($B$44-Inputs!$B$35)*((1/(1+EXP(-$B$46*($A20-$B$45))))-(1/(1+EXP(-$B$46*(2026-$B$45)))))/(1-(1/(1+EXP(-$B$46*(2026-$B$45)))))</f>
        <v>14.0580635772577</v>
      </c>
      <c r="K20" s="77" t="n">
        <f aca="false">(J20+J19)/2</f>
        <v>13.5430834447968</v>
      </c>
      <c r="L20" s="75" t="n">
        <f aca="false">MAX($B$48,Inputs!$B$36*(1-Inputs!$B$37)^B20)</f>
        <v>1</v>
      </c>
      <c r="M20" s="24" t="n">
        <f aca="false">K20*$B$47*L20</f>
        <v>812.585006687809</v>
      </c>
      <c r="N20" s="77" t="n">
        <f aca="false">Inputs!$B$39+($B$50-Inputs!$B$39)*((1/(1+EXP(-$B$52*($A20-$B$51))))-(1/(1+EXP(-$B$52*(2026-$B$51)))))/(1-(1/(1+EXP(-$B$52*(2026-$B$51)))))</f>
        <v>8.75231135471553</v>
      </c>
      <c r="O20" s="75" t="n">
        <f aca="false">O19+N20</f>
        <v>35.11970555548</v>
      </c>
      <c r="P20" s="76" t="n">
        <f aca="false">MAX($B$53,Inputs!$B$40*(1-Inputs!$B$41)^B20)</f>
        <v>20</v>
      </c>
      <c r="Q20" s="24" t="n">
        <f aca="false">N20*P20</f>
        <v>175.046227094311</v>
      </c>
      <c r="R20" s="22" t="n">
        <f aca="false">Inputs!$B$43+($B$55-Inputs!$B$43)*((1/(1+EXP(-$B$57*($A20-$B$56))))-(1/(1+EXP(-$B$57*(2026-$B$56)))))/(1-(1/(1+EXP(-$B$57*(2026-$B$56)))))</f>
        <v>1108.55716769389</v>
      </c>
      <c r="S20" s="73" t="n">
        <f aca="false">MAX($B$58,Inputs!$B$44*(1-Inputs!$B$45)^B20)</f>
        <v>150.113890545793</v>
      </c>
      <c r="T20" s="24" t="n">
        <f aca="false">R20*S20/1000</f>
        <v>166.409829334955</v>
      </c>
      <c r="U20" s="24" t="n">
        <f aca="false">U19*(1+$B$60*Inputs!$B$48^(B20-1))</f>
        <v>57.0695931933099</v>
      </c>
      <c r="V20" s="78" t="n">
        <f aca="false">G20+I20+M20+Q20+T20+U20</f>
        <v>1773.09592993875</v>
      </c>
      <c r="W20" s="24" t="n">
        <f aca="false">G20*(Inputs!$B$33+($B$38-Inputs!$B$33)*C20)+I20*$B$43+M20*(Inputs!$B$38+($B$49-Inputs!$B$38)*C20)+Q20*(Inputs!$B$42+($B$54-Inputs!$B$42)*C20)+T20*(Inputs!$B$46+($B$59-Inputs!$B$46)*C20)+U20*$B$61-V20*Inputs!$B$49</f>
        <v>705.380252133661</v>
      </c>
      <c r="X20" s="24" t="n">
        <f aca="false">(W20-V20*(Inputs!$B$50+Inputs!$B$51))*(1-Inputs!$B$52)</f>
        <v>417.175820720431</v>
      </c>
      <c r="Y20" s="76" t="n">
        <f aca="false">$B$62+($B$63-$B$62)*MIN(1,MAX(0,(A20-2027)/(Inputs!$B$26-2027)))</f>
        <v>20</v>
      </c>
      <c r="Z20" s="77" t="n">
        <f aca="false">Inputs!$B$11*(1+$B$64)^B20</f>
        <v>4.19314683511705</v>
      </c>
      <c r="AA20" s="22" t="n">
        <f aca="false">MIN(1,B20/Inputs!$B$25)*(W21*Y20+Inputs!$B$28)+(1-MIN(1,B20/Inputs!$B$25))*Inputs!$B$9*Inputs!$B$11</f>
        <v>15080.223712509</v>
      </c>
      <c r="AB20" s="79" t="n">
        <f aca="false">AA20/Z20</f>
        <v>3596.397718824</v>
      </c>
      <c r="AC20" s="22" t="n">
        <f aca="false">Inputs!$B$53+($B$65-Inputs!$B$53)*((1/(1+EXP(-$B$67*($A20-$B$66))))-(1/(1+EXP(-$B$67*(2026-$B$66)))))/(1-(1/(1+EXP(-$B$67*(2026-$B$66)))))</f>
        <v>2180.698159629</v>
      </c>
      <c r="AD20" s="22" t="n">
        <f aca="false">AC20*(Inputs!$B$54+($B$68-Inputs!$B$54)*C20)</f>
        <v>981.314171833049</v>
      </c>
      <c r="AE20" s="75" t="n">
        <f aca="false">Inputs!$B$13*(1+$B$69)^B20</f>
        <v>16.224538586733</v>
      </c>
      <c r="AF20" s="22" t="n">
        <f aca="false">MIN(1,B20/Inputs!$B$25)*(AD21*Y20)+(1-MIN(1,B20/Inputs!$B$25))*Inputs!$B$12*Inputs!$B$13</f>
        <v>19704.3099157488</v>
      </c>
      <c r="AG20" s="19" t="n">
        <f aca="false">AF20/AE20</f>
        <v>1214.47582687259</v>
      </c>
      <c r="AH20" s="73" t="n">
        <f aca="false">IF(AND(Inputs!$B$19="Yes",A20&gt;=$B$5),1,0)</f>
        <v>1</v>
      </c>
      <c r="AI20" s="22" t="n">
        <f aca="false">(AA20+AF20)*(1+IF(AH20=1,$B$70*MIN(1,(A20-$B$5+1)/3),0))</f>
        <v>38262.9869910837</v>
      </c>
      <c r="AJ20" s="75" t="n">
        <f aca="false">AE20+Z20*$B$4</f>
        <v>26.0173396278297</v>
      </c>
      <c r="AK20" s="58" t="n">
        <f aca="false">IF(AH20=1,Z20*$B$4/AJ20,1)</f>
        <v>0.376395172649463</v>
      </c>
      <c r="AL20" s="79" t="n">
        <f aca="false">IF(AH20=1,$B$4*AI20/AJ20,AB20)</f>
        <v>3434.65281825531</v>
      </c>
      <c r="AM20" s="19" t="n">
        <f aca="false">AL20*Holdings!$D$15</f>
        <v>1265600.87047072</v>
      </c>
      <c r="AN20" s="80" t="n">
        <f aca="false">AM20/Inputs!$B$14</f>
        <v>956686.726487804</v>
      </c>
      <c r="AO20" s="21" t="n">
        <f aca="false">AN20/(1+Inputs!$B$17)^B20</f>
        <v>711350.045624738</v>
      </c>
      <c r="AP20" s="20" t="n">
        <f aca="false">AL20/Inputs!$B$9</f>
        <v>9.15907418201415</v>
      </c>
    </row>
    <row r="21" customFormat="false" ht="15" hidden="false" customHeight="false" outlineLevel="0" collapsed="false">
      <c r="A21" s="73" t="n">
        <v>2039</v>
      </c>
      <c r="B21" s="73" t="n">
        <f aca="false">A21-2026</f>
        <v>13</v>
      </c>
      <c r="C21" s="74" t="n">
        <f aca="false">MIN(1,B21/Inputs!$B$27)</f>
        <v>1</v>
      </c>
      <c r="D21" s="75" t="n">
        <f aca="false">Inputs!$B$30+($B$33-Inputs!$B$30)*((1/(1+EXP(-$B$35*($A21-$B$34))))-(1/(1+EXP(-$B$35*(2026-$B$34)))))/(1-(1/(1+EXP(-$B$35*(2026-$B$34)))))</f>
        <v>16.8609244534369</v>
      </c>
      <c r="E21" s="76" t="n">
        <f aca="false">E20-J20+D21+J21</f>
        <v>132.21944146463</v>
      </c>
      <c r="F21" s="76" t="n">
        <f aca="false">MAX($B$37,Inputs!$B$32*(1+$B$36)^B21)</f>
        <v>31.9144291542943</v>
      </c>
      <c r="G21" s="24" t="n">
        <f aca="false">D21*F21</f>
        <v>538.106778945119</v>
      </c>
      <c r="H21" s="75" t="n">
        <f aca="false">Inputs!$B$34+($B$39-Inputs!$B$34)*((1/(1+EXP(-$B$41*($A21-$B$40))))-(1/(1+EXP(-$B$41*(2026-$B$40)))))/(1-(1/(1+EXP(-$B$41*(2026-$B$40)))))</f>
        <v>45.2589892668661</v>
      </c>
      <c r="I21" s="24" t="n">
        <f aca="false">H21*$B$42*12/1000</f>
        <v>54.3107871202393</v>
      </c>
      <c r="J21" s="77" t="n">
        <f aca="false">Inputs!$B$35+($B$44-Inputs!$B$35)*((1/(1+EXP(-$B$46*($A21-$B$45))))-(1/(1+EXP(-$B$46*(2026-$B$45)))))/(1-(1/(1+EXP(-$B$46*(2026-$B$45)))))</f>
        <v>14.7641933582898</v>
      </c>
      <c r="K21" s="77" t="n">
        <f aca="false">(J21+J20)/2</f>
        <v>14.4111284677737</v>
      </c>
      <c r="L21" s="75" t="n">
        <f aca="false">MAX($B$48,Inputs!$B$36*(1-Inputs!$B$37)^B21)</f>
        <v>1</v>
      </c>
      <c r="M21" s="24" t="n">
        <f aca="false">K21*$B$47*L21</f>
        <v>864.667708066425</v>
      </c>
      <c r="N21" s="77" t="n">
        <f aca="false">Inputs!$B$39+($B$50-Inputs!$B$39)*((1/(1+EXP(-$B$52*($A21-$B$51))))-(1/(1+EXP(-$B$52*(2026-$B$51)))))/(1-(1/(1+EXP(-$B$52*(2026-$B$51)))))</f>
        <v>9.79706190568206</v>
      </c>
      <c r="O21" s="75" t="n">
        <f aca="false">O20+N21</f>
        <v>44.9167674611621</v>
      </c>
      <c r="P21" s="76" t="n">
        <f aca="false">MAX($B$53,Inputs!$B$40*(1-Inputs!$B$41)^B21)</f>
        <v>20</v>
      </c>
      <c r="Q21" s="24" t="n">
        <f aca="false">N21*P21</f>
        <v>195.941238113641</v>
      </c>
      <c r="R21" s="22" t="n">
        <f aca="false">Inputs!$B$43+($B$55-Inputs!$B$43)*((1/(1+EXP(-$B$57*($A21-$B$56))))-(1/(1+EXP(-$B$57*(2026-$B$56)))))/(1-(1/(1+EXP(-$B$57*(2026-$B$56)))))</f>
        <v>1201.28780471448</v>
      </c>
      <c r="S21" s="73" t="n">
        <f aca="false">MAX($B$58,Inputs!$B$44*(1-Inputs!$B$45)^B21)</f>
        <v>144.109334923961</v>
      </c>
      <c r="T21" s="24" t="n">
        <f aca="false">R21*S21/1000</f>
        <v>173.116786589669</v>
      </c>
      <c r="U21" s="24" t="n">
        <f aca="false">U20*(1+$B$60*Inputs!$B$48^(B21-1))</f>
        <v>60.6529612547159</v>
      </c>
      <c r="V21" s="78" t="n">
        <f aca="false">G21+I21+M21+Q21+T21+U21</f>
        <v>1886.79626008981</v>
      </c>
      <c r="W21" s="24" t="n">
        <f aca="false">G21*(Inputs!$B$33+($B$38-Inputs!$B$33)*C21)+I21*$B$43+M21*(Inputs!$B$38+($B$49-Inputs!$B$38)*C21)+Q21*(Inputs!$B$42+($B$54-Inputs!$B$42)*C21)+T21*(Inputs!$B$46+($B$59-Inputs!$B$46)*C21)+U21*$B$61-V21*Inputs!$B$49</f>
        <v>752.126185625452</v>
      </c>
      <c r="X21" s="24" t="n">
        <f aca="false">(W21-V21*(Inputs!$B$50+Inputs!$B$51))*(1-Inputs!$B$52)</f>
        <v>445.122782097013</v>
      </c>
      <c r="Y21" s="76" t="n">
        <f aca="false">$B$62+($B$63-$B$62)*MIN(1,MAX(0,(A21-2027)/(Inputs!$B$26-2027)))</f>
        <v>20</v>
      </c>
      <c r="Z21" s="77" t="n">
        <f aca="false">Inputs!$B$11*(1+$B$64)^B21</f>
        <v>4.21411256929264</v>
      </c>
      <c r="AA21" s="22" t="n">
        <f aca="false">MIN(1,B21/Inputs!$B$25)*(W22*Y21+Inputs!$B$28)+(1-MIN(1,B21/Inputs!$B$25))*Inputs!$B$9*Inputs!$B$11</f>
        <v>15715.3019810304</v>
      </c>
      <c r="AB21" s="79" t="n">
        <f aca="false">AA21/Z21</f>
        <v>3729.20792281263</v>
      </c>
      <c r="AC21" s="22" t="n">
        <f aca="false">Inputs!$B$53+($B$65-Inputs!$B$53)*((1/(1+EXP(-$B$67*($A21-$B$66))))-(1/(1+EXP(-$B$67*(2026-$B$66)))))/(1-(1/(1+EXP(-$B$67*(2026-$B$66)))))</f>
        <v>2189.36776841654</v>
      </c>
      <c r="AD21" s="22" t="n">
        <f aca="false">AC21*(Inputs!$B$54+($B$68-Inputs!$B$54)*C21)</f>
        <v>985.215495787441</v>
      </c>
      <c r="AE21" s="75" t="n">
        <f aca="false">Inputs!$B$13*(1+$B$69)^B21</f>
        <v>16.467906665534</v>
      </c>
      <c r="AF21" s="22" t="n">
        <f aca="false">MIN(1,B21/Inputs!$B$25)*(AD22*Y21)+(1-MIN(1,B21/Inputs!$B$25))*Inputs!$B$12*Inputs!$B$13</f>
        <v>19747.3774146475</v>
      </c>
      <c r="AG21" s="19" t="n">
        <f aca="false">AF21/AE21</f>
        <v>1199.14314646786</v>
      </c>
      <c r="AH21" s="73" t="n">
        <f aca="false">IF(AND(Inputs!$B$19="Yes",A21&gt;=$B$5),1,0)</f>
        <v>1</v>
      </c>
      <c r="AI21" s="22" t="n">
        <f aca="false">(AA21+AF21)*(1+IF(AH21=1,$B$70*MIN(1,(A21-$B$5+1)/3),0))</f>
        <v>39008.9473352457</v>
      </c>
      <c r="AJ21" s="75" t="n">
        <f aca="false">AE21+Z21*$B$4</f>
        <v>26.3096717118362</v>
      </c>
      <c r="AK21" s="58" t="n">
        <f aca="false">IF(AH21=1,Z21*$B$4/AJ21,1)</f>
        <v>0.374074034602057</v>
      </c>
      <c r="AL21" s="79" t="n">
        <f aca="false">IF(AH21=1,$B$4*AI21/AJ21,AB21)</f>
        <v>3462.70634097558</v>
      </c>
      <c r="AM21" s="19" t="n">
        <f aca="false">AL21*Holdings!$D$15</f>
        <v>1275938.03252268</v>
      </c>
      <c r="AN21" s="80" t="n">
        <f aca="false">AM21/Inputs!$B$14</f>
        <v>964500.742703668</v>
      </c>
      <c r="AO21" s="21" t="n">
        <f aca="false">AN21/(1+Inputs!$B$17)^B21</f>
        <v>699668.491090618</v>
      </c>
      <c r="AP21" s="20" t="n">
        <f aca="false">AL21/Inputs!$B$9</f>
        <v>9.23388357593488</v>
      </c>
    </row>
    <row r="22" customFormat="false" ht="15" hidden="false" customHeight="false" outlineLevel="0" collapsed="false">
      <c r="A22" s="73" t="n">
        <v>2040</v>
      </c>
      <c r="B22" s="73" t="n">
        <f aca="false">A22-2026</f>
        <v>14</v>
      </c>
      <c r="C22" s="74" t="n">
        <f aca="false">MIN(1,B22/Inputs!$B$27)</f>
        <v>1</v>
      </c>
      <c r="D22" s="75" t="n">
        <f aca="false">Inputs!$B$30+($B$33-Inputs!$B$30)*((1/(1+EXP(-$B$35*($A22-$B$34))))-(1/(1+EXP(-$B$35*(2026-$B$34)))))/(1-(1/(1+EXP(-$B$35*(2026-$B$34)))))</f>
        <v>17.7724527895697</v>
      </c>
      <c r="E22" s="76" t="n">
        <f aca="false">E21-J21+D22+J22</f>
        <v>150.455085351412</v>
      </c>
      <c r="F22" s="76" t="n">
        <f aca="false">MAX($B$37,Inputs!$B$32*(1+$B$36)^B22)</f>
        <v>31.2761405712084</v>
      </c>
      <c r="G22" s="24" t="n">
        <f aca="false">D22*F22</f>
        <v>555.853731741747</v>
      </c>
      <c r="H22" s="75" t="n">
        <f aca="false">Inputs!$B$34+($B$39-Inputs!$B$34)*((1/(1+EXP(-$B$41*($A22-$B$40))))-(1/(1+EXP(-$B$41*(2026-$B$40)))))/(1-(1/(1+EXP(-$B$41*(2026-$B$40)))))</f>
        <v>46.8688093081215</v>
      </c>
      <c r="I22" s="24" t="n">
        <f aca="false">H22*$B$42*12/1000</f>
        <v>56.2425711697458</v>
      </c>
      <c r="J22" s="77" t="n">
        <f aca="false">Inputs!$B$35+($B$44-Inputs!$B$35)*((1/(1+EXP(-$B$46*($A22-$B$45))))-(1/(1+EXP(-$B$46*(2026-$B$45)))))/(1-(1/(1+EXP(-$B$46*(2026-$B$45)))))</f>
        <v>15.227384455502</v>
      </c>
      <c r="K22" s="77" t="n">
        <f aca="false">(J22+J21)/2</f>
        <v>14.9957889068959</v>
      </c>
      <c r="L22" s="75" t="n">
        <f aca="false">MAX($B$48,Inputs!$B$36*(1-Inputs!$B$37)^B22)</f>
        <v>1</v>
      </c>
      <c r="M22" s="24" t="n">
        <f aca="false">K22*$B$47*L22</f>
        <v>899.747334413753</v>
      </c>
      <c r="N22" s="77" t="n">
        <f aca="false">Inputs!$B$39+($B$50-Inputs!$B$39)*((1/(1+EXP(-$B$52*($A22-$B$51))))-(1/(1+EXP(-$B$52*(2026-$B$51)))))/(1-(1/(1+EXP(-$B$52*(2026-$B$51)))))</f>
        <v>10.5605267706109</v>
      </c>
      <c r="O22" s="75" t="n">
        <f aca="false">O21+N22</f>
        <v>55.477294231773</v>
      </c>
      <c r="P22" s="76" t="n">
        <f aca="false">MAX($B$53,Inputs!$B$40*(1-Inputs!$B$41)^B22)</f>
        <v>20</v>
      </c>
      <c r="Q22" s="24" t="n">
        <f aca="false">N22*P22</f>
        <v>211.210535412218</v>
      </c>
      <c r="R22" s="22" t="n">
        <f aca="false">Inputs!$B$43+($B$55-Inputs!$B$43)*((1/(1+EXP(-$B$57*($A22-$B$56))))-(1/(1+EXP(-$B$57*(2026-$B$56)))))/(1-(1/(1+EXP(-$B$57*(2026-$B$56)))))</f>
        <v>1276.44134642181</v>
      </c>
      <c r="S22" s="73" t="n">
        <f aca="false">MAX($B$58,Inputs!$B$44*(1-Inputs!$B$45)^B22)</f>
        <v>138.344961527003</v>
      </c>
      <c r="T22" s="24" t="n">
        <f aca="false">R22*S22/1000</f>
        <v>176.589228962201</v>
      </c>
      <c r="U22" s="24" t="n">
        <f aca="false">U21*(1+$B$60*Inputs!$B$48^(B22-1))</f>
        <v>64.1947414039434</v>
      </c>
      <c r="V22" s="78" t="n">
        <f aca="false">G22+I22+M22+Q22+T22+U22</f>
        <v>1963.83814310361</v>
      </c>
      <c r="W22" s="24" t="n">
        <f aca="false">G22*(Inputs!$B$33+($B$38-Inputs!$B$33)*C22)+I22*$B$43+M22*(Inputs!$B$38+($B$49-Inputs!$B$38)*C22)+Q22*(Inputs!$B$42+($B$54-Inputs!$B$42)*C22)+T22*(Inputs!$B$46+($B$59-Inputs!$B$46)*C22)+U22*$B$61-V22*Inputs!$B$49</f>
        <v>783.88009905152</v>
      </c>
      <c r="X22" s="24" t="n">
        <f aca="false">(W22-V22*(Inputs!$B$50+Inputs!$B$51))*(1-Inputs!$B$52)</f>
        <v>464.122064945516</v>
      </c>
      <c r="Y22" s="76" t="n">
        <f aca="false">$B$62+($B$63-$B$62)*MIN(1,MAX(0,(A22-2027)/(Inputs!$B$26-2027)))</f>
        <v>20</v>
      </c>
      <c r="Z22" s="77" t="n">
        <f aca="false">Inputs!$B$11*(1+$B$64)^B22</f>
        <v>4.2351831321391</v>
      </c>
      <c r="AA22" s="22" t="n">
        <f aca="false">MIN(1,B22/Inputs!$B$25)*(W23*Y22+Inputs!$B$28)+(1-MIN(1,B22/Inputs!$B$25))*Inputs!$B$9*Inputs!$B$11</f>
        <v>16122.080515773</v>
      </c>
      <c r="AB22" s="79" t="n">
        <f aca="false">AA22/Z22</f>
        <v>3806.70209829395</v>
      </c>
      <c r="AC22" s="22" t="n">
        <f aca="false">Inputs!$B$53+($B$65-Inputs!$B$53)*((1/(1+EXP(-$B$67*($A22-$B$66))))-(1/(1+EXP(-$B$67*(2026-$B$66)))))/(1-(1/(1+EXP(-$B$67*(2026-$B$66)))))</f>
        <v>2194.15304607194</v>
      </c>
      <c r="AD22" s="22" t="n">
        <f aca="false">AC22*(Inputs!$B$54+($B$68-Inputs!$B$54)*C22)</f>
        <v>987.368870732375</v>
      </c>
      <c r="AE22" s="75" t="n">
        <f aca="false">Inputs!$B$13*(1+$B$69)^B22</f>
        <v>16.714925265517</v>
      </c>
      <c r="AF22" s="22" t="n">
        <f aca="false">MIN(1,B22/Inputs!$B$25)*(AD23*Y22)+(1-MIN(1,B22/Inputs!$B$25))*Inputs!$B$12*Inputs!$B$13</f>
        <v>19771.087857908</v>
      </c>
      <c r="AG22" s="19" t="n">
        <f aca="false">AF22/AE22</f>
        <v>1182.8403384307</v>
      </c>
      <c r="AH22" s="73" t="n">
        <f aca="false">IF(AND(Inputs!$B$19="Yes",A22&gt;=$B$5),1,0)</f>
        <v>1</v>
      </c>
      <c r="AI22" s="22" t="n">
        <f aca="false">(AA22+AF22)*(1+IF(AH22=1,$B$70*MIN(1,(A22-$B$5+1)/3),0))</f>
        <v>39482.4852110492</v>
      </c>
      <c r="AJ22" s="75" t="n">
        <f aca="false">AE22+Z22*$B$4</f>
        <v>26.6058991370507</v>
      </c>
      <c r="AK22" s="58" t="n">
        <f aca="false">IF(AH22=1,Z22*$B$4/AJ22,1)</f>
        <v>0.371758677298741</v>
      </c>
      <c r="AL22" s="79" t="n">
        <f aca="false">IF(AH22=1,$B$4*AI22/AJ22,AB22)</f>
        <v>3465.71943185683</v>
      </c>
      <c r="AM22" s="19" t="n">
        <f aca="false">AL22*Holdings!$D$15</f>
        <v>1277048.2962506</v>
      </c>
      <c r="AN22" s="80" t="n">
        <f aca="false">AM22/Inputs!$B$14</f>
        <v>965340.007748586</v>
      </c>
      <c r="AO22" s="21" t="n">
        <f aca="false">AN22/(1+Inputs!$B$17)^B22</f>
        <v>683197.376638805</v>
      </c>
      <c r="AP22" s="20" t="n">
        <f aca="false">AL22/Inputs!$B$9</f>
        <v>9.24191848495154</v>
      </c>
    </row>
    <row r="23" customFormat="false" ht="15" hidden="false" customHeight="false" outlineLevel="0" collapsed="false">
      <c r="A23" s="73" t="n">
        <v>2041</v>
      </c>
      <c r="B23" s="73" t="n">
        <f aca="false">A23-2026</f>
        <v>15</v>
      </c>
      <c r="C23" s="74" t="n">
        <f aca="false">MIN(1,B23/Inputs!$B$27)</f>
        <v>1</v>
      </c>
      <c r="D23" s="75" t="n">
        <f aca="false">Inputs!$B$30+($B$33-Inputs!$B$30)*((1/(1+EXP(-$B$35*($A23-$B$34))))-(1/(1+EXP(-$B$35*(2026-$B$34)))))/(1-(1/(1+EXP(-$B$35*(2026-$B$34)))))</f>
        <v>18.445750280982</v>
      </c>
      <c r="E23" s="76" t="n">
        <f aca="false">E22-J22+D23+J23</f>
        <v>169.195925227341</v>
      </c>
      <c r="F23" s="76" t="n">
        <f aca="false">MAX($B$37,Inputs!$B$32*(1+$B$36)^B23)</f>
        <v>30.6506177597843</v>
      </c>
      <c r="G23" s="24" t="n">
        <f aca="false">D23*F23</f>
        <v>565.373641154812</v>
      </c>
      <c r="H23" s="75" t="n">
        <f aca="false">Inputs!$B$34+($B$39-Inputs!$B$34)*((1/(1+EXP(-$B$41*($A23-$B$40))))-(1/(1+EXP(-$B$41*(2026-$B$40)))))/(1-(1/(1+EXP(-$B$41*(2026-$B$40)))))</f>
        <v>47.9568402277587</v>
      </c>
      <c r="I23" s="24" t="n">
        <f aca="false">H23*$B$42*12/1000</f>
        <v>57.5482082733104</v>
      </c>
      <c r="J23" s="77" t="n">
        <f aca="false">Inputs!$B$35+($B$44-Inputs!$B$35)*((1/(1+EXP(-$B$46*($A23-$B$45))))-(1/(1+EXP(-$B$46*(2026-$B$45)))))/(1-(1/(1+EXP(-$B$46*(2026-$B$45)))))</f>
        <v>15.5224740504488</v>
      </c>
      <c r="K23" s="77" t="n">
        <f aca="false">(J23+J22)/2</f>
        <v>15.3749292529754</v>
      </c>
      <c r="L23" s="75" t="n">
        <f aca="false">MAX($B$48,Inputs!$B$36*(1-Inputs!$B$37)^B23)</f>
        <v>1</v>
      </c>
      <c r="M23" s="24" t="n">
        <f aca="false">K23*$B$47*L23</f>
        <v>922.495755178524</v>
      </c>
      <c r="N23" s="77" t="n">
        <f aca="false">Inputs!$B$39+($B$50-Inputs!$B$39)*((1/(1+EXP(-$B$52*($A23-$B$51))))-(1/(1+EXP(-$B$52*(2026-$B$51)))))/(1-(1/(1+EXP(-$B$52*(2026-$B$51)))))</f>
        <v>11.08395014553</v>
      </c>
      <c r="O23" s="75" t="n">
        <f aca="false">O22+N23</f>
        <v>66.561244377303</v>
      </c>
      <c r="P23" s="76" t="n">
        <f aca="false">MAX($B$53,Inputs!$B$40*(1-Inputs!$B$41)^B23)</f>
        <v>20</v>
      </c>
      <c r="Q23" s="24" t="n">
        <f aca="false">N23*P23</f>
        <v>221.6790029106</v>
      </c>
      <c r="R23" s="22" t="n">
        <f aca="false">Inputs!$B$43+($B$55-Inputs!$B$43)*((1/(1+EXP(-$B$57*($A23-$B$56))))-(1/(1+EXP(-$B$57*(2026-$B$56)))))/(1-(1/(1+EXP(-$B$57*(2026-$B$56)))))</f>
        <v>1335.25835827753</v>
      </c>
      <c r="S23" s="73" t="n">
        <f aca="false">MAX($B$58,Inputs!$B$44*(1-Inputs!$B$45)^B23)</f>
        <v>132.811163065923</v>
      </c>
      <c r="T23" s="24" t="n">
        <f aca="false">R23*S23/1000</f>
        <v>177.337215556334</v>
      </c>
      <c r="U23" s="24" t="n">
        <f aca="false">U22*(1+$B$60*Inputs!$B$48^(B23-1))</f>
        <v>67.6809389474738</v>
      </c>
      <c r="V23" s="78" t="n">
        <f aca="false">G23+I23+M23+Q23+T23+U23</f>
        <v>2012.11476202105</v>
      </c>
      <c r="W23" s="24" t="n">
        <f aca="false">G23*(Inputs!$B$33+($B$38-Inputs!$B$33)*C23)+I23*$B$43+M23*(Inputs!$B$38+($B$49-Inputs!$B$38)*C23)+Q23*(Inputs!$B$42+($B$54-Inputs!$B$42)*C23)+T23*(Inputs!$B$46+($B$59-Inputs!$B$46)*C23)+U23*$B$61-V23*Inputs!$B$49</f>
        <v>804.219025788652</v>
      </c>
      <c r="X23" s="24" t="n">
        <f aca="false">(W23-V23*(Inputs!$B$50+Inputs!$B$51))*(1-Inputs!$B$52)</f>
        <v>476.375964173372</v>
      </c>
      <c r="Y23" s="76" t="n">
        <f aca="false">$B$62+($B$63-$B$62)*MIN(1,MAX(0,(A23-2027)/(Inputs!$B$26-2027)))</f>
        <v>20</v>
      </c>
      <c r="Z23" s="77" t="n">
        <f aca="false">Inputs!$B$11*(1+$B$64)^B23</f>
        <v>4.25635904779979</v>
      </c>
      <c r="AA23" s="22" t="n">
        <f aca="false">MIN(1,B23/Inputs!$B$25)*(W24*Y23+Inputs!$B$28)+(1-MIN(1,B23/Inputs!$B$25))*Inputs!$B$9*Inputs!$B$11</f>
        <v>16367.4305903708</v>
      </c>
      <c r="AB23" s="79" t="n">
        <f aca="false">AA23/Z23</f>
        <v>3845.4064627916</v>
      </c>
      <c r="AC23" s="22" t="n">
        <f aca="false">Inputs!$B$53+($B$65-Inputs!$B$53)*((1/(1+EXP(-$B$67*($A23-$B$66))))-(1/(1+EXP(-$B$67*(2026-$B$66)))))/(1-(1/(1+EXP(-$B$67*(2026-$B$66)))))</f>
        <v>2196.78753976756</v>
      </c>
      <c r="AD23" s="22" t="n">
        <f aca="false">AC23*(Inputs!$B$54+($B$68-Inputs!$B$54)*C23)</f>
        <v>988.554392895401</v>
      </c>
      <c r="AE23" s="75" t="n">
        <f aca="false">Inputs!$B$13*(1+$B$69)^B23</f>
        <v>16.9656491444998</v>
      </c>
      <c r="AF23" s="22" t="n">
        <f aca="false">MIN(1,B23/Inputs!$B$25)*(AD24*Y23)+(1-MIN(1,B23/Inputs!$B$25))*Inputs!$B$12*Inputs!$B$13</f>
        <v>19784.1229481821</v>
      </c>
      <c r="AG23" s="19" t="n">
        <f aca="false">AF23/AE23</f>
        <v>1166.12826185882</v>
      </c>
      <c r="AH23" s="73" t="n">
        <f aca="false">IF(AND(Inputs!$B$19="Yes",A23&gt;=$B$5),1,0)</f>
        <v>1</v>
      </c>
      <c r="AI23" s="22" t="n">
        <f aca="false">(AA23+AF23)*(1+IF(AH23=1,$B$70*MIN(1,(A23-$B$5+1)/3),0))</f>
        <v>39766.7088924082</v>
      </c>
      <c r="AJ23" s="75" t="n">
        <f aca="false">AE23+Z23*$B$4</f>
        <v>26.9060778853911</v>
      </c>
      <c r="AK23" s="58" t="n">
        <f aca="false">IF(AH23=1,Z23*$B$4/AJ23,1)</f>
        <v>0.369449192232086</v>
      </c>
      <c r="AL23" s="79" t="n">
        <f aca="false">IF(AH23=1,$B$4*AI23/AJ23,AB23)</f>
        <v>3451.72442292509</v>
      </c>
      <c r="AM23" s="19" t="n">
        <f aca="false">AL23*Holdings!$D$15</f>
        <v>1271891.41535944</v>
      </c>
      <c r="AN23" s="80" t="n">
        <f aca="false">AM23/Inputs!$B$14</f>
        <v>961441.843948475</v>
      </c>
      <c r="AO23" s="21" t="n">
        <f aca="false">AN23/(1+Inputs!$B$17)^B23</f>
        <v>663842.478150186</v>
      </c>
      <c r="AP23" s="20" t="n">
        <f aca="false">AL23/Inputs!$B$9</f>
        <v>9.20459846113358</v>
      </c>
    </row>
    <row r="24" customFormat="false" ht="15" hidden="false" customHeight="false" outlineLevel="0" collapsed="false">
      <c r="A24" s="73" t="n">
        <v>2042</v>
      </c>
      <c r="B24" s="73" t="n">
        <f aca="false">A24-2026</f>
        <v>16</v>
      </c>
      <c r="C24" s="74" t="n">
        <f aca="false">MIN(1,B24/Inputs!$B$27)</f>
        <v>1</v>
      </c>
      <c r="D24" s="75" t="n">
        <f aca="false">Inputs!$B$30+($B$33-Inputs!$B$30)*((1/(1+EXP(-$B$35*($A24-$B$34))))-(1/(1+EXP(-$B$35*(2026-$B$34)))))/(1-(1/(1+EXP(-$B$35*(2026-$B$34)))))</f>
        <v>18.9287820638319</v>
      </c>
      <c r="E24" s="76" t="n">
        <f aca="false">E23-J23+D24+J24</f>
        <v>188.309219649782</v>
      </c>
      <c r="F24" s="76" t="n">
        <f aca="false">MAX($B$37,Inputs!$B$32*(1+$B$36)^B24)</f>
        <v>30.0376054045886</v>
      </c>
      <c r="G24" s="24" t="n">
        <f aca="false">D24*F24</f>
        <v>568.575286422836</v>
      </c>
      <c r="H24" s="75" t="n">
        <f aca="false">Inputs!$B$34+($B$39-Inputs!$B$34)*((1/(1+EXP(-$B$41*($A24-$B$40))))-(1/(1+EXP(-$B$41*(2026-$B$40)))))/(1-(1/(1+EXP(-$B$41*(2026-$B$40)))))</f>
        <v>48.677531833551</v>
      </c>
      <c r="I24" s="24" t="n">
        <f aca="false">H24*$B$42*12/1000</f>
        <v>58.4130382002613</v>
      </c>
      <c r="J24" s="77" t="n">
        <f aca="false">Inputs!$B$35+($B$44-Inputs!$B$35)*((1/(1+EXP(-$B$46*($A24-$B$45))))-(1/(1+EXP(-$B$46*(2026-$B$45)))))/(1-(1/(1+EXP(-$B$46*(2026-$B$45)))))</f>
        <v>15.706986409058</v>
      </c>
      <c r="K24" s="77" t="n">
        <f aca="false">(J24+J23)/2</f>
        <v>15.6147302297534</v>
      </c>
      <c r="L24" s="75" t="n">
        <f aca="false">MAX($B$48,Inputs!$B$36*(1-Inputs!$B$37)^B24)</f>
        <v>1</v>
      </c>
      <c r="M24" s="24" t="n">
        <f aca="false">K24*$B$47*L24</f>
        <v>936.883813785206</v>
      </c>
      <c r="N24" s="77" t="n">
        <f aca="false">Inputs!$B$39+($B$50-Inputs!$B$39)*((1/(1+EXP(-$B$52*($A24-$B$51))))-(1/(1+EXP(-$B$52*(2026-$B$51)))))/(1-(1/(1+EXP(-$B$52*(2026-$B$51)))))</f>
        <v>11.4272936127619</v>
      </c>
      <c r="O24" s="75" t="n">
        <f aca="false">O23+N24</f>
        <v>77.9885379900649</v>
      </c>
      <c r="P24" s="76" t="n">
        <f aca="false">MAX($B$53,Inputs!$B$40*(1-Inputs!$B$41)^B24)</f>
        <v>20</v>
      </c>
      <c r="Q24" s="24" t="n">
        <f aca="false">N24*P24</f>
        <v>228.545872255238</v>
      </c>
      <c r="R24" s="22" t="n">
        <f aca="false">Inputs!$B$43+($B$55-Inputs!$B$43)*((1/(1+EXP(-$B$57*($A24-$B$56))))-(1/(1+EXP(-$B$57*(2026-$B$56)))))/(1-(1/(1+EXP(-$B$57*(2026-$B$56)))))</f>
        <v>1380.04382836091</v>
      </c>
      <c r="S24" s="73" t="n">
        <f aca="false">MAX($B$58,Inputs!$B$44*(1-Inputs!$B$45)^B24)</f>
        <v>127.498716543286</v>
      </c>
      <c r="T24" s="24" t="n">
        <f aca="false">R24*S24/1000</f>
        <v>175.953816889499</v>
      </c>
      <c r="U24" s="24" t="n">
        <f aca="false">U23*(1+$B$60*Inputs!$B$48^(B24-1))</f>
        <v>71.0991735206854</v>
      </c>
      <c r="V24" s="78" t="n">
        <f aca="false">G24+I24+M24+Q24+T24+U24</f>
        <v>2039.47100107373</v>
      </c>
      <c r="W24" s="24" t="n">
        <f aca="false">G24*(Inputs!$B$33+($B$38-Inputs!$B$33)*C24)+I24*$B$43+M24*(Inputs!$B$38+($B$49-Inputs!$B$38)*C24)+Q24*(Inputs!$B$42+($B$54-Inputs!$B$42)*C24)+T24*(Inputs!$B$46+($B$59-Inputs!$B$46)*C24)+U24*$B$61-V24*Inputs!$B$49</f>
        <v>816.486529518541</v>
      </c>
      <c r="X24" s="24" t="n">
        <f aca="false">(W24-V24*(Inputs!$B$50+Inputs!$B$51))*(1-Inputs!$B$52)</f>
        <v>483.906149234823</v>
      </c>
      <c r="Y24" s="76" t="n">
        <f aca="false">$B$62+($B$63-$B$62)*MIN(1,MAX(0,(A24-2027)/(Inputs!$B$26-2027)))</f>
        <v>20</v>
      </c>
      <c r="Z24" s="77" t="n">
        <f aca="false">Inputs!$B$11*(1+$B$64)^B24</f>
        <v>4.27764084303879</v>
      </c>
      <c r="AA24" s="22" t="n">
        <f aca="false">MIN(1,B24/Inputs!$B$25)*(W25*Y24+Inputs!$B$28)+(1-MIN(1,B24/Inputs!$B$25))*Inputs!$B$9*Inputs!$B$11</f>
        <v>16538.7938384671</v>
      </c>
      <c r="AB24" s="79" t="n">
        <f aca="false">AA24/Z24</f>
        <v>3866.33531082477</v>
      </c>
      <c r="AC24" s="22" t="n">
        <f aca="false">Inputs!$B$53+($B$65-Inputs!$B$53)*((1/(1+EXP(-$B$67*($A24-$B$66))))-(1/(1+EXP(-$B$67*(2026-$B$66)))))/(1-(1/(1+EXP(-$B$67*(2026-$B$66)))))</f>
        <v>2198.23588313135</v>
      </c>
      <c r="AD24" s="22" t="n">
        <f aca="false">AC24*(Inputs!$B$54+($B$68-Inputs!$B$54)*C24)</f>
        <v>989.206147409106</v>
      </c>
      <c r="AE24" s="75" t="n">
        <f aca="false">Inputs!$B$13*(1+$B$69)^B24</f>
        <v>17.2201338816673</v>
      </c>
      <c r="AF24" s="22" t="n">
        <f aca="false">MIN(1,B24/Inputs!$B$25)*(AD25*Y24)+(1-MIN(1,B24/Inputs!$B$25))*Inputs!$B$12*Inputs!$B$13</f>
        <v>19791.2835552643</v>
      </c>
      <c r="AG24" s="19" t="n">
        <f aca="false">AF24/AE24</f>
        <v>1149.31066687782</v>
      </c>
      <c r="AH24" s="73" t="n">
        <f aca="false">IF(AND(Inputs!$B$19="Yes",A24&gt;=$B$5),1,0)</f>
        <v>1</v>
      </c>
      <c r="AI24" s="22" t="n">
        <f aca="false">(AA24+AF24)*(1+IF(AH24=1,$B$70*MIN(1,(A24-$B$5+1)/3),0))</f>
        <v>39963.0851331045</v>
      </c>
      <c r="AJ24" s="75" t="n">
        <f aca="false">AE24+Z24*$B$4</f>
        <v>27.2102647662631</v>
      </c>
      <c r="AK24" s="58" t="n">
        <f aca="false">IF(AH24=1,Z24*$B$4/AJ24,1)</f>
        <v>0.367145669856993</v>
      </c>
      <c r="AL24" s="79" t="n">
        <f aca="false">IF(AH24=1,$B$4*AI24/AJ24,AB24)</f>
        <v>3429.99195096582</v>
      </c>
      <c r="AM24" s="19" t="n">
        <f aca="false">AL24*Holdings!$D$15</f>
        <v>1263883.43409189</v>
      </c>
      <c r="AN24" s="80" t="n">
        <f aca="false">AM24/Inputs!$B$14</f>
        <v>955388.490507133</v>
      </c>
      <c r="AO24" s="21" t="n">
        <f aca="false">AN24/(1+Inputs!$B$17)^B24</f>
        <v>643573.508385919</v>
      </c>
      <c r="AP24" s="20" t="n">
        <f aca="false">AL24/Inputs!$B$9</f>
        <v>9.14664520257553</v>
      </c>
    </row>
    <row r="25" customFormat="false" ht="15" hidden="false" customHeight="false" outlineLevel="0" collapsed="false">
      <c r="A25" s="73" t="n">
        <v>2043</v>
      </c>
      <c r="B25" s="73" t="n">
        <f aca="false">A25-2026</f>
        <v>17</v>
      </c>
      <c r="C25" s="74" t="n">
        <f aca="false">MIN(1,B25/Inputs!$B$27)</f>
        <v>1</v>
      </c>
      <c r="D25" s="75" t="n">
        <f aca="false">Inputs!$B$30+($B$33-Inputs!$B$30)*((1/(1+EXP(-$B$35*($A25-$B$34))))-(1/(1+EXP(-$B$35*(2026-$B$34)))))/(1-(1/(1+EXP(-$B$35*(2026-$B$34)))))</f>
        <v>19.2681094130878</v>
      </c>
      <c r="E25" s="76" t="n">
        <f aca="false">E24-J24+D25+J25</f>
        <v>207.691354222094</v>
      </c>
      <c r="F25" s="76" t="n">
        <f aca="false">MAX($B$37,Inputs!$B$32*(1+$B$36)^B25)</f>
        <v>30</v>
      </c>
      <c r="G25" s="24" t="n">
        <f aca="false">D25*F25</f>
        <v>578.043282392634</v>
      </c>
      <c r="H25" s="75" t="n">
        <f aca="false">Inputs!$B$34+($B$39-Inputs!$B$34)*((1/(1+EXP(-$B$41*($A25-$B$40))))-(1/(1+EXP(-$B$41*(2026-$B$40)))))/(1-(1/(1+EXP(-$B$41*(2026-$B$40)))))</f>
        <v>49.1485507985775</v>
      </c>
      <c r="I25" s="24" t="n">
        <f aca="false">H25*$B$42*12/1000</f>
        <v>58.978260958293</v>
      </c>
      <c r="J25" s="77" t="n">
        <f aca="false">Inputs!$B$35+($B$44-Inputs!$B$35)*((1/(1+EXP(-$B$46*($A25-$B$45))))-(1/(1+EXP(-$B$46*(2026-$B$45)))))/(1-(1/(1+EXP(-$B$46*(2026-$B$45)))))</f>
        <v>15.8210115682821</v>
      </c>
      <c r="K25" s="77" t="n">
        <f aca="false">(J25+J24)/2</f>
        <v>15.7639989886701</v>
      </c>
      <c r="L25" s="75" t="n">
        <f aca="false">MAX($B$48,Inputs!$B$36*(1-Inputs!$B$37)^B25)</f>
        <v>1</v>
      </c>
      <c r="M25" s="24" t="n">
        <f aca="false">K25*$B$47*L25</f>
        <v>945.839939320204</v>
      </c>
      <c r="N25" s="77" t="n">
        <f aca="false">Inputs!$B$39+($B$50-Inputs!$B$39)*((1/(1+EXP(-$B$52*($A25-$B$51))))-(1/(1+EXP(-$B$52*(2026-$B$51)))))/(1-(1/(1+EXP(-$B$52*(2026-$B$51)))))</f>
        <v>11.646030728572</v>
      </c>
      <c r="O25" s="75" t="n">
        <f aca="false">O24+N25</f>
        <v>89.6345687186369</v>
      </c>
      <c r="P25" s="76" t="n">
        <f aca="false">MAX($B$53,Inputs!$B$40*(1-Inputs!$B$41)^B25)</f>
        <v>20</v>
      </c>
      <c r="Q25" s="24" t="n">
        <f aca="false">N25*P25</f>
        <v>232.920614571441</v>
      </c>
      <c r="R25" s="22" t="n">
        <f aca="false">Inputs!$B$43+($B$55-Inputs!$B$43)*((1/(1+EXP(-$B$57*($A25-$B$56))))-(1/(1+EXP(-$B$57*(2026-$B$56)))))/(1-(1/(1+EXP(-$B$57*(2026-$B$56)))))</f>
        <v>1413.43763507981</v>
      </c>
      <c r="S25" s="73" t="n">
        <f aca="false">MAX($B$58,Inputs!$B$44*(1-Inputs!$B$45)^B25)</f>
        <v>122.398767881554</v>
      </c>
      <c r="T25" s="24" t="n">
        <f aca="false">R25*S25/1000</f>
        <v>173.003025011187</v>
      </c>
      <c r="U25" s="24" t="n">
        <f aca="false">U24*(1+$B$60*Inputs!$B$48^(B25-1))</f>
        <v>74.4386853663577</v>
      </c>
      <c r="V25" s="78" t="n">
        <f aca="false">G25+I25+M25+Q25+T25+U25</f>
        <v>2063.22380762012</v>
      </c>
      <c r="W25" s="24" t="n">
        <f aca="false">G25*(Inputs!$B$33+($B$38-Inputs!$B$33)*C25)+I25*$B$43+M25*(Inputs!$B$38+($B$49-Inputs!$B$38)*C25)+Q25*(Inputs!$B$42+($B$54-Inputs!$B$42)*C25)+T25*(Inputs!$B$46+($B$59-Inputs!$B$46)*C25)+U25*$B$61-V25*Inputs!$B$49</f>
        <v>825.054691923355</v>
      </c>
      <c r="X25" s="24" t="n">
        <f aca="false">(W25-V25*(Inputs!$B$50+Inputs!$B$51))*(1-Inputs!$B$52)</f>
        <v>488.798525817462</v>
      </c>
      <c r="Y25" s="76" t="n">
        <f aca="false">$B$62+($B$63-$B$62)*MIN(1,MAX(0,(A25-2027)/(Inputs!$B$26-2027)))</f>
        <v>20</v>
      </c>
      <c r="Z25" s="77" t="n">
        <f aca="false">Inputs!$B$11*(1+$B$64)^B25</f>
        <v>4.29902904725399</v>
      </c>
      <c r="AA25" s="22" t="n">
        <f aca="false">MIN(1,B25/Inputs!$B$25)*(W26*Y25+Inputs!$B$28)+(1-MIN(1,B25/Inputs!$B$25))*Inputs!$B$9*Inputs!$B$11</f>
        <v>16658.2570845779</v>
      </c>
      <c r="AB25" s="79" t="n">
        <f aca="false">AA25/Z25</f>
        <v>3874.88823673299</v>
      </c>
      <c r="AC25" s="22" t="n">
        <f aca="false">Inputs!$B$53+($B$65-Inputs!$B$53)*((1/(1+EXP(-$B$67*($A25-$B$66))))-(1/(1+EXP(-$B$67*(2026-$B$66)))))/(1-(1/(1+EXP(-$B$67*(2026-$B$66)))))</f>
        <v>2199.03150614048</v>
      </c>
      <c r="AD25" s="22" t="n">
        <f aca="false">AC25*(Inputs!$B$54+($B$68-Inputs!$B$54)*C25)</f>
        <v>989.564177763214</v>
      </c>
      <c r="AE25" s="75" t="n">
        <f aca="false">Inputs!$B$13*(1+$B$69)^B25</f>
        <v>17.4784358898923</v>
      </c>
      <c r="AF25" s="22" t="n">
        <f aca="false">MIN(1,B25/Inputs!$B$25)*(AD26*Y25)+(1-MIN(1,B25/Inputs!$B$25))*Inputs!$B$12*Inputs!$B$13</f>
        <v>19795.2154295536</v>
      </c>
      <c r="AG25" s="19" t="n">
        <f aca="false">AF25/AE25</f>
        <v>1132.5507359043</v>
      </c>
      <c r="AH25" s="73" t="n">
        <f aca="false">IF(AND(Inputs!$B$19="Yes",A25&gt;=$B$5),1,0)</f>
        <v>1</v>
      </c>
      <c r="AI25" s="22" t="n">
        <f aca="false">(AA25+AF25)*(1+IF(AH25=1,$B$70*MIN(1,(A25-$B$5+1)/3),0))</f>
        <v>40098.8197655447</v>
      </c>
      <c r="AJ25" s="75" t="n">
        <f aca="false">AE25+Z25*$B$4</f>
        <v>27.518517428911</v>
      </c>
      <c r="AK25" s="58" t="n">
        <f aca="false">IF(AH25=1,Z25*$B$4/AJ25,1)</f>
        <v>0.3648481995789</v>
      </c>
      <c r="AL25" s="79" t="n">
        <f aca="false">IF(AH25=1,$B$4*AI25/AJ25,AB25)</f>
        <v>3403.0898688723</v>
      </c>
      <c r="AM25" s="19" t="n">
        <f aca="false">AL25*Holdings!$D$15</f>
        <v>1253970.55488207</v>
      </c>
      <c r="AN25" s="80" t="n">
        <f aca="false">AM25/Inputs!$B$14</f>
        <v>947895.196070804</v>
      </c>
      <c r="AO25" s="21" t="n">
        <f aca="false">AN25/(1+Inputs!$B$17)^B25</f>
        <v>622952.037482477</v>
      </c>
      <c r="AP25" s="20" t="n">
        <f aca="false">AL25/Inputs!$B$9</f>
        <v>9.07490631699281</v>
      </c>
    </row>
    <row r="26" customFormat="false" ht="15" hidden="false" customHeight="false" outlineLevel="0" collapsed="false">
      <c r="A26" s="73" t="n">
        <v>2044</v>
      </c>
      <c r="B26" s="73" t="n">
        <f aca="false">A26-2026</f>
        <v>18</v>
      </c>
      <c r="C26" s="74" t="n">
        <f aca="false">MIN(1,B26/Inputs!$B$27)</f>
        <v>1</v>
      </c>
      <c r="D26" s="75" t="n">
        <f aca="false">Inputs!$B$30+($B$33-Inputs!$B$30)*((1/(1+EXP(-$B$35*($A26-$B$34))))-(1/(1+EXP(-$B$35*(2026-$B$34)))))/(1-(1/(1+EXP(-$B$35*(2026-$B$34)))))</f>
        <v>19.5029814886837</v>
      </c>
      <c r="E26" s="76" t="n">
        <f aca="false">E25-J25+D26+J26</f>
        <v>227.264290817126</v>
      </c>
      <c r="F26" s="76" t="n">
        <f aca="false">MAX($B$37,Inputs!$B$32*(1+$B$36)^B26)</f>
        <v>30</v>
      </c>
      <c r="G26" s="24" t="n">
        <f aca="false">D26*F26</f>
        <v>585.089444660512</v>
      </c>
      <c r="H26" s="75" t="n">
        <f aca="false">Inputs!$B$34+($B$39-Inputs!$B$34)*((1/(1+EXP(-$B$41*($A26-$B$40))))-(1/(1+EXP(-$B$41*(2026-$B$40)))))/(1-(1/(1+EXP(-$B$41*(2026-$B$40)))))</f>
        <v>49.4537020948037</v>
      </c>
      <c r="I26" s="24" t="n">
        <f aca="false">H26*$B$42*12/1000</f>
        <v>59.3444425137645</v>
      </c>
      <c r="J26" s="77" t="n">
        <f aca="false">Inputs!$B$35+($B$44-Inputs!$B$35)*((1/(1+EXP(-$B$46*($A26-$B$45))))-(1/(1+EXP(-$B$46*(2026-$B$45)))))/(1-(1/(1+EXP(-$B$46*(2026-$B$45)))))</f>
        <v>15.8909666746303</v>
      </c>
      <c r="K26" s="77" t="n">
        <f aca="false">(J26+J25)/2</f>
        <v>15.8559891214562</v>
      </c>
      <c r="L26" s="75" t="n">
        <f aca="false">MAX($B$48,Inputs!$B$36*(1-Inputs!$B$37)^B26)</f>
        <v>1</v>
      </c>
      <c r="M26" s="24" t="n">
        <f aca="false">K26*$B$47*L26</f>
        <v>951.359347287373</v>
      </c>
      <c r="N26" s="77" t="n">
        <f aca="false">Inputs!$B$39+($B$50-Inputs!$B$39)*((1/(1+EXP(-$B$52*($A26-$B$51))))-(1/(1+EXP(-$B$52*(2026-$B$51)))))/(1-(1/(1+EXP(-$B$52*(2026-$B$51)))))</f>
        <v>11.7828017359021</v>
      </c>
      <c r="O26" s="75" t="n">
        <f aca="false">O25+N26</f>
        <v>101.417370454539</v>
      </c>
      <c r="P26" s="76" t="n">
        <f aca="false">MAX($B$53,Inputs!$B$40*(1-Inputs!$B$41)^B26)</f>
        <v>20</v>
      </c>
      <c r="Q26" s="24" t="n">
        <f aca="false">N26*P26</f>
        <v>235.656034718042</v>
      </c>
      <c r="R26" s="22" t="n">
        <f aca="false">Inputs!$B$43+($B$55-Inputs!$B$43)*((1/(1+EXP(-$B$57*($A26-$B$56))))-(1/(1+EXP(-$B$57*(2026-$B$56)))))/(1-(1/(1+EXP(-$B$57*(2026-$B$56)))))</f>
        <v>1437.95012029653</v>
      </c>
      <c r="S26" s="73" t="n">
        <f aca="false">MAX($B$58,Inputs!$B$44*(1-Inputs!$B$45)^B26)</f>
        <v>120</v>
      </c>
      <c r="T26" s="24" t="n">
        <f aca="false">R26*S26/1000</f>
        <v>172.554014435583</v>
      </c>
      <c r="U26" s="24" t="n">
        <f aca="false">U25*(1+$B$60*Inputs!$B$48^(B26-1))</f>
        <v>77.6903075597009</v>
      </c>
      <c r="V26" s="78" t="n">
        <f aca="false">G26+I26+M26+Q26+T26+U26</f>
        <v>2081.69359117498</v>
      </c>
      <c r="W26" s="24" t="n">
        <f aca="false">G26*(Inputs!$B$33+($B$38-Inputs!$B$33)*C26)+I26*$B$43+M26*(Inputs!$B$38+($B$49-Inputs!$B$38)*C26)+Q26*(Inputs!$B$42+($B$54-Inputs!$B$42)*C26)+T26*(Inputs!$B$46+($B$59-Inputs!$B$46)*C26)+U26*$B$61-V26*Inputs!$B$49</f>
        <v>831.027854228896</v>
      </c>
      <c r="X26" s="24" t="n">
        <f aca="false">(W26-V26*(Inputs!$B$50+Inputs!$B$51))*(1-Inputs!$B$52)</f>
        <v>492.058211138005</v>
      </c>
      <c r="Y26" s="76" t="n">
        <f aca="false">$B$62+($B$63-$B$62)*MIN(1,MAX(0,(A26-2027)/(Inputs!$B$26-2027)))</f>
        <v>20</v>
      </c>
      <c r="Z26" s="77" t="n">
        <f aca="false">Inputs!$B$11*(1+$B$64)^B26</f>
        <v>4.32052419249026</v>
      </c>
      <c r="AA26" s="22" t="n">
        <f aca="false">MIN(1,B26/Inputs!$B$25)*(W27*Y26+Inputs!$B$28)+(1-MIN(1,B26/Inputs!$B$25))*Inputs!$B$9*Inputs!$B$11</f>
        <v>16747.4690806121</v>
      </c>
      <c r="AB26" s="79" t="n">
        <f aca="false">AA26/Z26</f>
        <v>3876.25860531502</v>
      </c>
      <c r="AC26" s="22" t="n">
        <f aca="false">Inputs!$B$53+($B$65-Inputs!$B$53)*((1/(1+EXP(-$B$67*($A26-$B$66))))-(1/(1+EXP(-$B$67*(2026-$B$66)))))/(1-(1/(1+EXP(-$B$67*(2026-$B$66)))))</f>
        <v>2199.46838106151</v>
      </c>
      <c r="AD26" s="22" t="n">
        <f aca="false">AC26*(Inputs!$B$54+($B$68-Inputs!$B$54)*C26)</f>
        <v>989.760771477681</v>
      </c>
      <c r="AE26" s="75" t="n">
        <f aca="false">Inputs!$B$13*(1+$B$69)^B26</f>
        <v>17.7406124282407</v>
      </c>
      <c r="AF26" s="22" t="n">
        <f aca="false">MIN(1,B26/Inputs!$B$25)*(AD27*Y26)+(1-MIN(1,B26/Inputs!$B$25))*Inputs!$B$12*Inputs!$B$13</f>
        <v>19797.3739056882</v>
      </c>
      <c r="AG26" s="19" t="n">
        <f aca="false">AF26/AE26</f>
        <v>1115.93520154769</v>
      </c>
      <c r="AH26" s="73" t="n">
        <f aca="false">IF(AND(Inputs!$B$19="Yes",A26&gt;=$B$5),1,0)</f>
        <v>1</v>
      </c>
      <c r="AI26" s="22" t="n">
        <f aca="false">(AA26+AF26)*(1+IF(AH26=1,$B$70*MIN(1,(A26-$B$5+1)/3),0))</f>
        <v>40199.3272849303</v>
      </c>
      <c r="AJ26" s="75" t="n">
        <f aca="false">AE26+Z26*$B$4</f>
        <v>27.8308943749545</v>
      </c>
      <c r="AK26" s="58" t="n">
        <f aca="false">IF(AH26=1,Z26*$B$4/AJ26,1)</f>
        <v>0.362556869742364</v>
      </c>
      <c r="AL26" s="79" t="n">
        <f aca="false">IF(AH26=1,$B$4*AI26/AJ26,AB26)</f>
        <v>3373.32731327045</v>
      </c>
      <c r="AM26" s="19" t="n">
        <f aca="false">AL26*Holdings!$D$15</f>
        <v>1243003.64839389</v>
      </c>
      <c r="AN26" s="80" t="n">
        <f aca="false">AM26/Inputs!$B$14</f>
        <v>939605.14656731</v>
      </c>
      <c r="AO26" s="21" t="n">
        <f aca="false">AN26/(1+Inputs!$B$17)^B26</f>
        <v>602442.788220368</v>
      </c>
      <c r="AP26" s="20" t="n">
        <f aca="false">AL26/Inputs!$B$9</f>
        <v>8.99553950205453</v>
      </c>
    </row>
    <row r="27" customFormat="false" ht="15" hidden="false" customHeight="false" outlineLevel="0" collapsed="false">
      <c r="A27" s="73" t="n">
        <v>2045</v>
      </c>
      <c r="B27" s="73" t="n">
        <f aca="false">A27-2026</f>
        <v>19</v>
      </c>
      <c r="C27" s="74" t="n">
        <f aca="false">MIN(1,B27/Inputs!$B$27)</f>
        <v>1</v>
      </c>
      <c r="D27" s="75" t="n">
        <f aca="false">Inputs!$B$30+($B$33-Inputs!$B$30)*((1/(1+EXP(-$B$35*($A27-$B$34))))-(1/(1+EXP(-$B$35*(2026-$B$34)))))/(1-(1/(1+EXP(-$B$35*(2026-$B$34)))))</f>
        <v>19.66389136149</v>
      </c>
      <c r="E27" s="76" t="n">
        <f aca="false">E26-J26+D27+J27</f>
        <v>246.970908835139</v>
      </c>
      <c r="F27" s="76" t="n">
        <f aca="false">MAX($B$37,Inputs!$B$32*(1+$B$36)^B27)</f>
        <v>30</v>
      </c>
      <c r="G27" s="24" t="n">
        <f aca="false">D27*F27</f>
        <v>589.916740844699</v>
      </c>
      <c r="H27" s="75" t="n">
        <f aca="false">Inputs!$B$34+($B$39-Inputs!$B$34)*((1/(1+EXP(-$B$41*($A27-$B$40))))-(1/(1+EXP(-$B$41*(2026-$B$40)))))/(1-(1/(1+EXP(-$B$41*(2026-$B$40)))))</f>
        <v>49.6502726865898</v>
      </c>
      <c r="I27" s="24" t="n">
        <f aca="false">H27*$B$42*12/1000</f>
        <v>59.5803272239078</v>
      </c>
      <c r="J27" s="77" t="n">
        <f aca="false">Inputs!$B$35+($B$44-Inputs!$B$35)*((1/(1+EXP(-$B$46*($A27-$B$45))))-(1/(1+EXP(-$B$46*(2026-$B$45)))))/(1-(1/(1+EXP(-$B$46*(2026-$B$45)))))</f>
        <v>15.9336933311533</v>
      </c>
      <c r="K27" s="77" t="n">
        <f aca="false">(J27+J26)/2</f>
        <v>15.9123300028918</v>
      </c>
      <c r="L27" s="75" t="n">
        <f aca="false">MAX($B$48,Inputs!$B$36*(1-Inputs!$B$37)^B27)</f>
        <v>1</v>
      </c>
      <c r="M27" s="24" t="n">
        <f aca="false">K27*$B$47*L27</f>
        <v>954.73980017351</v>
      </c>
      <c r="N27" s="77" t="n">
        <f aca="false">Inputs!$B$39+($B$50-Inputs!$B$39)*((1/(1+EXP(-$B$52*($A27-$B$51))))-(1/(1+EXP(-$B$52*(2026-$B$51)))))/(1-(1/(1+EXP(-$B$52*(2026-$B$51)))))</f>
        <v>11.8673236400477</v>
      </c>
      <c r="O27" s="75" t="n">
        <f aca="false">O26+N27</f>
        <v>113.284694094587</v>
      </c>
      <c r="P27" s="76" t="n">
        <f aca="false">MAX($B$53,Inputs!$B$40*(1-Inputs!$B$41)^B27)</f>
        <v>20</v>
      </c>
      <c r="Q27" s="24" t="n">
        <f aca="false">N27*P27</f>
        <v>237.346472800954</v>
      </c>
      <c r="R27" s="22" t="n">
        <f aca="false">Inputs!$B$43+($B$55-Inputs!$B$43)*((1/(1+EXP(-$B$57*($A27-$B$56))))-(1/(1+EXP(-$B$57*(2026-$B$56)))))/(1-(1/(1+EXP(-$B$57*(2026-$B$56)))))</f>
        <v>1455.73706948007</v>
      </c>
      <c r="S27" s="73" t="n">
        <f aca="false">MAX($B$58,Inputs!$B$44*(1-Inputs!$B$45)^B27)</f>
        <v>120</v>
      </c>
      <c r="T27" s="24" t="n">
        <f aca="false">R27*S27/1000</f>
        <v>174.688448337609</v>
      </c>
      <c r="U27" s="24" t="n">
        <f aca="false">U26*(1+$B$60*Inputs!$B$48^(B27-1))</f>
        <v>80.8464106012001</v>
      </c>
      <c r="V27" s="78" t="n">
        <f aca="false">G27+I27+M27+Q27+T27+U27</f>
        <v>2097.11819998188</v>
      </c>
      <c r="W27" s="24" t="n">
        <f aca="false">G27*(Inputs!$B$33+($B$38-Inputs!$B$33)*C27)+I27*$B$43+M27*(Inputs!$B$38+($B$49-Inputs!$B$38)*C27)+Q27*(Inputs!$B$42+($B$54-Inputs!$B$42)*C27)+T27*(Inputs!$B$46+($B$59-Inputs!$B$46)*C27)+U27*$B$61-V27*Inputs!$B$49</f>
        <v>835.488454030604</v>
      </c>
      <c r="X27" s="24" t="n">
        <f aca="false">(W27-V27*(Inputs!$B$50+Inputs!$B$51))*(1-Inputs!$B$52)</f>
        <v>494.363540885609</v>
      </c>
      <c r="Y27" s="76" t="n">
        <f aca="false">$B$62+($B$63-$B$62)*MIN(1,MAX(0,(A27-2027)/(Inputs!$B$26-2027)))</f>
        <v>20</v>
      </c>
      <c r="Z27" s="77" t="n">
        <f aca="false">Inputs!$B$11*(1+$B$64)^B27</f>
        <v>4.34212681345271</v>
      </c>
      <c r="AA27" s="22" t="n">
        <f aca="false">MIN(1,B27/Inputs!$B$25)*(W28*Y27+Inputs!$B$28)+(1-MIN(1,B27/Inputs!$B$25))*Inputs!$B$9*Inputs!$B$11</f>
        <v>16807.1534688403</v>
      </c>
      <c r="AB27" s="79" t="n">
        <f aca="false">AA27/Z27</f>
        <v>3870.71916388269</v>
      </c>
      <c r="AC27" s="22" t="n">
        <f aca="false">Inputs!$B$53+($B$65-Inputs!$B$53)*((1/(1+EXP(-$B$67*($A27-$B$66))))-(1/(1+EXP(-$B$67*(2026-$B$66)))))/(1-(1/(1+EXP(-$B$67*(2026-$B$66)))))</f>
        <v>2199.70821174313</v>
      </c>
      <c r="AD27" s="22" t="n">
        <f aca="false">AC27*(Inputs!$B$54+($B$68-Inputs!$B$54)*C27)</f>
        <v>989.86869528441</v>
      </c>
      <c r="AE27" s="75" t="n">
        <f aca="false">Inputs!$B$13*(1+$B$69)^B27</f>
        <v>18.0067216146643</v>
      </c>
      <c r="AF27" s="22" t="n">
        <f aca="false">MIN(1,B27/Inputs!$B$25)*(AD28*Y27)+(1-MIN(1,B27/Inputs!$B$25))*Inputs!$B$12*Inputs!$B$13</f>
        <v>19798.5586886404</v>
      </c>
      <c r="AG27" s="19" t="n">
        <f aca="false">AF27/AE27</f>
        <v>1099.50934502796</v>
      </c>
      <c r="AH27" s="73" t="n">
        <f aca="false">IF(AND(Inputs!$B$19="Yes",A27&gt;=$B$5),1,0)</f>
        <v>1</v>
      </c>
      <c r="AI27" s="22" t="n">
        <f aca="false">(AA27+AF27)*(1+IF(AH27=1,$B$70*MIN(1,(A27-$B$5+1)/3),0))</f>
        <v>40266.2833732287</v>
      </c>
      <c r="AJ27" s="75" t="n">
        <f aca="false">AE27+Z27*$B$4</f>
        <v>28.1474549711117</v>
      </c>
      <c r="AK27" s="58" t="n">
        <f aca="false">IF(AH27=1,Z27*$B$4/AJ27,1)</f>
        <v>0.360271767620024</v>
      </c>
      <c r="AL27" s="79" t="n">
        <f aca="false">IF(AH27=1,$B$4*AI27/AJ27,AB27)</f>
        <v>3340.94458996847</v>
      </c>
      <c r="AM27" s="19" t="n">
        <f aca="false">AL27*Holdings!$D$15</f>
        <v>1231071.26251158</v>
      </c>
      <c r="AN27" s="80" t="n">
        <f aca="false">AM27/Inputs!$B$14</f>
        <v>930585.276673659</v>
      </c>
      <c r="AO27" s="21" t="n">
        <f aca="false">AN27/(1+Inputs!$B$17)^B27</f>
        <v>582106.883061334</v>
      </c>
      <c r="AP27" s="20" t="n">
        <f aca="false">AL27/Inputs!$B$9</f>
        <v>8.90918557324926</v>
      </c>
    </row>
    <row r="28" customFormat="false" ht="15" hidden="false" customHeight="false" outlineLevel="0" collapsed="false">
      <c r="A28" s="73" t="n">
        <v>2046</v>
      </c>
      <c r="B28" s="73" t="n">
        <f aca="false">A28-2026</f>
        <v>20</v>
      </c>
      <c r="C28" s="74" t="n">
        <f aca="false">MIN(1,B28/Inputs!$B$27)</f>
        <v>1</v>
      </c>
      <c r="D28" s="75" t="n">
        <f aca="false">Inputs!$B$30+($B$33-Inputs!$B$30)*((1/(1+EXP(-$B$35*($A28-$B$34))))-(1/(1+EXP(-$B$35*(2026-$B$34)))))/(1-(1/(1+EXP(-$B$35*(2026-$B$34)))))</f>
        <v>19.7733557109356</v>
      </c>
      <c r="E28" s="76" t="n">
        <f aca="false">E27-J27+D28+J28</f>
        <v>266.770289677471</v>
      </c>
      <c r="F28" s="76" t="n">
        <f aca="false">MAX($B$37,Inputs!$B$32*(1+$B$36)^B28)</f>
        <v>30</v>
      </c>
      <c r="G28" s="24" t="n">
        <f aca="false">D28*F28</f>
        <v>593.200671328067</v>
      </c>
      <c r="H28" s="75" t="n">
        <f aca="false">Inputs!$B$34+($B$39-Inputs!$B$34)*((1/(1+EXP(-$B$41*($A28-$B$40))))-(1/(1+EXP(-$B$41*(2026-$B$40)))))/(1-(1/(1+EXP(-$B$41*(2026-$B$40)))))</f>
        <v>49.7764342008874</v>
      </c>
      <c r="I28" s="24" t="n">
        <f aca="false">H28*$B$42*12/1000</f>
        <v>59.7317210410649</v>
      </c>
      <c r="J28" s="77" t="n">
        <f aca="false">Inputs!$B$35+($B$44-Inputs!$B$35)*((1/(1+EXP(-$B$46*($A28-$B$45))))-(1/(1+EXP(-$B$46*(2026-$B$45)))))/(1-(1/(1+EXP(-$B$46*(2026-$B$45)))))</f>
        <v>15.95971846255</v>
      </c>
      <c r="K28" s="77" t="n">
        <f aca="false">(J28+J27)/2</f>
        <v>15.9467058968517</v>
      </c>
      <c r="L28" s="75" t="n">
        <f aca="false">MAX($B$48,Inputs!$B$36*(1-Inputs!$B$37)^B28)</f>
        <v>1</v>
      </c>
      <c r="M28" s="24" t="n">
        <f aca="false">K28*$B$47*L28</f>
        <v>956.8023538111</v>
      </c>
      <c r="N28" s="77" t="n">
        <f aca="false">Inputs!$B$39+($B$50-Inputs!$B$39)*((1/(1+EXP(-$B$52*($A28-$B$51))))-(1/(1+EXP(-$B$52*(2026-$B$51)))))/(1-(1/(1+EXP(-$B$52*(2026-$B$51)))))</f>
        <v>11.919178325746</v>
      </c>
      <c r="O28" s="75" t="n">
        <f aca="false">O27+N28</f>
        <v>125.203872420333</v>
      </c>
      <c r="P28" s="76" t="n">
        <f aca="false">MAX($B$53,Inputs!$B$40*(1-Inputs!$B$41)^B28)</f>
        <v>20</v>
      </c>
      <c r="Q28" s="24" t="n">
        <f aca="false">N28*P28</f>
        <v>238.383566514919</v>
      </c>
      <c r="R28" s="22" t="n">
        <f aca="false">Inputs!$B$43+($B$55-Inputs!$B$43)*((1/(1+EXP(-$B$57*($A28-$B$56))))-(1/(1+EXP(-$B$57*(2026-$B$56)))))/(1-(1/(1+EXP(-$B$57*(2026-$B$56)))))</f>
        <v>1468.53608046611</v>
      </c>
      <c r="S28" s="73" t="n">
        <f aca="false">MAX($B$58,Inputs!$B$44*(1-Inputs!$B$45)^B28)</f>
        <v>120</v>
      </c>
      <c r="T28" s="24" t="n">
        <f aca="false">R28*S28/1000</f>
        <v>176.224329655933</v>
      </c>
      <c r="U28" s="24" t="n">
        <f aca="false">U27*(1+$B$60*Inputs!$B$48^(B28-1))</f>
        <v>83.900825465537</v>
      </c>
      <c r="V28" s="78" t="n">
        <f aca="false">G28+I28+M28+Q28+T28+U28</f>
        <v>2108.24346781662</v>
      </c>
      <c r="W28" s="24" t="n">
        <f aca="false">G28*(Inputs!$B$33+($B$38-Inputs!$B$33)*C28)+I28*$B$43+M28*(Inputs!$B$38+($B$49-Inputs!$B$38)*C28)+Q28*(Inputs!$B$42+($B$54-Inputs!$B$42)*C28)+T28*(Inputs!$B$46+($B$59-Inputs!$B$46)*C28)+U28*$B$61-V28*Inputs!$B$49</f>
        <v>838.472673442013</v>
      </c>
      <c r="X28" s="24" t="n">
        <f aca="false">(W28-V28*(Inputs!$B$50+Inputs!$B$51))*(1-Inputs!$B$52)</f>
        <v>495.842178061677</v>
      </c>
      <c r="Y28" s="76" t="n">
        <f aca="false">$B$62+($B$63-$B$62)*MIN(1,MAX(0,(A28-2027)/(Inputs!$B$26-2027)))</f>
        <v>20</v>
      </c>
      <c r="Z28" s="77" t="n">
        <f aca="false">Inputs!$B$11*(1+$B$64)^B28</f>
        <v>4.36383744751997</v>
      </c>
      <c r="AA28" s="22" t="n">
        <f aca="false">MIN(1,B28/Inputs!$B$25)*(W29*Y28+Inputs!$B$28)+(1-MIN(1,B28/Inputs!$B$25))*Inputs!$B$9*Inputs!$B$11</f>
        <v>16847.8762673705</v>
      </c>
      <c r="AB28" s="79" t="n">
        <f aca="false">AA28/Z28</f>
        <v>3860.79373257712</v>
      </c>
      <c r="AC28" s="22" t="n">
        <f aca="false">Inputs!$B$53+($B$65-Inputs!$B$53)*((1/(1+EXP(-$B$67*($A28-$B$66))))-(1/(1+EXP(-$B$67*(2026-$B$66)))))/(1-(1/(1+EXP(-$B$67*(2026-$B$66)))))</f>
        <v>2199.83985429337</v>
      </c>
      <c r="AD28" s="22" t="n">
        <f aca="false">AC28*(Inputs!$B$54+($B$68-Inputs!$B$54)*C28)</f>
        <v>989.927934432018</v>
      </c>
      <c r="AE28" s="75" t="n">
        <f aca="false">Inputs!$B$13*(1+$B$69)^B28</f>
        <v>18.2768224388842</v>
      </c>
      <c r="AF28" s="22" t="n">
        <f aca="false">MIN(1,B28/Inputs!$B$25)*(AD29*Y28)+(1-MIN(1,B28/Inputs!$B$25))*Inputs!$B$12*Inputs!$B$13</f>
        <v>19799.2089673835</v>
      </c>
      <c r="AG28" s="19" t="n">
        <f aca="false">AF28/AE28</f>
        <v>1083.29601787127</v>
      </c>
      <c r="AH28" s="73" t="n">
        <f aca="false">IF(AND(Inputs!$B$19="Yes",A28&gt;=$B$5),1,0)</f>
        <v>1</v>
      </c>
      <c r="AI28" s="22" t="n">
        <f aca="false">(AA28+AF28)*(1+IF(AH28=1,$B$70*MIN(1,(A28-$B$5+1)/3),0))</f>
        <v>40311.7937582294</v>
      </c>
      <c r="AJ28" s="75" t="n">
        <f aca="false">AE28+Z28*$B$4</f>
        <v>28.4682594621139</v>
      </c>
      <c r="AK28" s="58" t="n">
        <f aca="false">IF(AH28=1,Z28*$B$4/AJ28,1)</f>
        <v>0.357992979401942</v>
      </c>
      <c r="AL28" s="79" t="n">
        <f aca="false">IF(AH28=1,$B$4*AI28/AJ28,AB28)</f>
        <v>3307.02949550668</v>
      </c>
      <c r="AM28" s="19" t="n">
        <f aca="false">AL28*Holdings!$D$15</f>
        <v>1218574.2285043</v>
      </c>
      <c r="AN28" s="80" t="n">
        <f aca="false">AM28/Inputs!$B$14</f>
        <v>921138.580772774</v>
      </c>
      <c r="AO28" s="21" t="n">
        <f aca="false">AN28/(1+Inputs!$B$17)^B28</f>
        <v>562144.110191846</v>
      </c>
      <c r="AP28" s="20" t="n">
        <f aca="false">AL28/Inputs!$B$9</f>
        <v>8.81874532135115</v>
      </c>
    </row>
    <row r="29" customFormat="false" ht="15" hidden="false" customHeight="false" outlineLevel="0" collapsed="false">
      <c r="A29" s="81" t="n">
        <v>2047</v>
      </c>
      <c r="B29" s="81" t="n">
        <f aca="false">A29-2026</f>
        <v>21</v>
      </c>
      <c r="C29" s="82" t="n">
        <f aca="false">MIN(1,B29/Inputs!$B$27)</f>
        <v>1</v>
      </c>
      <c r="D29" s="83" t="n">
        <f aca="false">Inputs!$B$30+($B$33-Inputs!$B$30)*((1/(1+EXP(-$B$35*($A29-$B$34))))-(1/(1+EXP(-$B$35*(2026-$B$34)))))/(1-(1/(1+EXP(-$B$35*(2026-$B$34)))))</f>
        <v>19.847465881761</v>
      </c>
      <c r="E29" s="84" t="n">
        <f aca="false">E28-J28+D29+J29</f>
        <v>286.633581316135</v>
      </c>
      <c r="F29" s="84" t="n">
        <f aca="false">MAX($B$37,Inputs!$B$32*(1+$B$36)^B29)</f>
        <v>30</v>
      </c>
      <c r="G29" s="85" t="n">
        <f aca="false">D29*F29</f>
        <v>595.423976452829</v>
      </c>
      <c r="H29" s="83" t="n">
        <f aca="false">Inputs!$B$34+($B$39-Inputs!$B$34)*((1/(1+EXP(-$B$41*($A29-$B$40))))-(1/(1+EXP(-$B$41*(2026-$B$40)))))/(1-(1/(1+EXP(-$B$41*(2026-$B$40)))))</f>
        <v>49.8572155107198</v>
      </c>
      <c r="I29" s="85" t="n">
        <f aca="false">H29*$B$42*12/1000</f>
        <v>59.8286586128638</v>
      </c>
      <c r="J29" s="86" t="n">
        <f aca="false">Inputs!$B$35+($B$44-Inputs!$B$35)*((1/(1+EXP(-$B$46*($A29-$B$45))))-(1/(1+EXP(-$B$46*(2026-$B$45)))))/(1-(1/(1+EXP(-$B$46*(2026-$B$45)))))</f>
        <v>15.975544219453</v>
      </c>
      <c r="K29" s="86" t="n">
        <f aca="false">(J29+J28)/2</f>
        <v>15.9676313410015</v>
      </c>
      <c r="L29" s="83" t="n">
        <f aca="false">MAX($B$48,Inputs!$B$36*(1-Inputs!$B$37)^B29)</f>
        <v>1</v>
      </c>
      <c r="M29" s="85" t="n">
        <f aca="false">K29*$B$47*L29</f>
        <v>958.05788046009</v>
      </c>
      <c r="N29" s="86" t="n">
        <f aca="false">Inputs!$B$39+($B$50-Inputs!$B$39)*((1/(1+EXP(-$B$52*($A29-$B$51))))-(1/(1+EXP(-$B$52*(2026-$B$51)))))/(1-(1/(1+EXP(-$B$52*(2026-$B$51)))))</f>
        <v>11.9508497427532</v>
      </c>
      <c r="O29" s="83" t="n">
        <f aca="false">O28+N29</f>
        <v>137.154722163086</v>
      </c>
      <c r="P29" s="84" t="n">
        <f aca="false">MAX($B$53,Inputs!$B$40*(1-Inputs!$B$41)^B29)</f>
        <v>20</v>
      </c>
      <c r="Q29" s="85" t="n">
        <f aca="false">N29*P29</f>
        <v>239.016994855064</v>
      </c>
      <c r="R29" s="87" t="n">
        <f aca="false">Inputs!$B$43+($B$55-Inputs!$B$43)*((1/(1+EXP(-$B$57*($A29-$B$56))))-(1/(1+EXP(-$B$57*(2026-$B$56)))))/(1-(1/(1+EXP(-$B$57*(2026-$B$56)))))</f>
        <v>1477.69047521884</v>
      </c>
      <c r="S29" s="81" t="n">
        <f aca="false">MAX($B$58,Inputs!$B$44*(1-Inputs!$B$45)^B29)</f>
        <v>120</v>
      </c>
      <c r="T29" s="85" t="n">
        <f aca="false">R29*S29/1000</f>
        <v>177.322857026261</v>
      </c>
      <c r="U29" s="85" t="n">
        <f aca="false">U28*(1+$B$60*Inputs!$B$48^(B29-1))</f>
        <v>86.8487506939983</v>
      </c>
      <c r="V29" s="78" t="n">
        <f aca="false">G29+I29+M29+Q29+T29+U29</f>
        <v>2116.49911810111</v>
      </c>
      <c r="W29" s="85" t="n">
        <f aca="false">G29*(Inputs!$B$33+($B$38-Inputs!$B$33)*C29)+I29*$B$43+M29*(Inputs!$B$38+($B$49-Inputs!$B$38)*C29)+Q29*(Inputs!$B$42+($B$54-Inputs!$B$42)*C29)+T29*(Inputs!$B$46+($B$59-Inputs!$B$46)*C29)+U29*$B$61-V29*Inputs!$B$49</f>
        <v>840.508813368523</v>
      </c>
      <c r="X29" s="85" t="n">
        <f aca="false">(W29-V29*(Inputs!$B$50+Inputs!$B$51))*(1-Inputs!$B$52)</f>
        <v>496.798532231146</v>
      </c>
      <c r="Y29" s="84" t="n">
        <f aca="false">$B$62+($B$63-$B$62)*MIN(1,MAX(0,(A29-2027)/(Inputs!$B$26-2027)))</f>
        <v>20</v>
      </c>
      <c r="Z29" s="86" t="n">
        <f aca="false">Inputs!$B$11*(1+$B$64)^B29</f>
        <v>4.38565663475757</v>
      </c>
      <c r="AA29" s="88"/>
      <c r="AB29" s="4"/>
      <c r="AC29" s="87" t="n">
        <f aca="false">Inputs!$B$53+($B$65-Inputs!$B$53)*((1/(1+EXP(-$B$67*($A29-$B$66))))-(1/(1+EXP(-$B$67*(2026-$B$66)))))/(1-(1/(1+EXP(-$B$67*(2026-$B$66)))))</f>
        <v>2199.91210748706</v>
      </c>
      <c r="AD29" s="87" t="n">
        <f aca="false">AC29*(Inputs!$B$54+($B$68-Inputs!$B$54)*C29)</f>
        <v>989.960448369176</v>
      </c>
      <c r="AE29" s="83" t="n">
        <f aca="false">Inputs!$B$13*(1+$B$69)^B29</f>
        <v>18.5509747754675</v>
      </c>
      <c r="AF29" s="88"/>
      <c r="AG29" s="88"/>
      <c r="AH29" s="88"/>
      <c r="AI29" s="88"/>
      <c r="AJ29" s="88"/>
      <c r="AK29" s="88"/>
      <c r="AL29" s="4"/>
      <c r="AM29" s="88"/>
      <c r="AN29" s="4"/>
      <c r="AO29" s="88"/>
      <c r="AP29" s="88"/>
    </row>
    <row r="31" customFormat="false" ht="15" hidden="false" customHeight="false" outlineLevel="0" collapsed="false">
      <c r="D31" s="25" t="s">
        <v>345</v>
      </c>
    </row>
    <row r="32" customFormat="false" ht="15" hidden="false" customHeight="false" outlineLevel="0" collapsed="false">
      <c r="A32" s="4" t="s">
        <v>346</v>
      </c>
    </row>
    <row r="33" customFormat="false" ht="15" hidden="false" customHeight="false" outlineLevel="0" collapsed="false">
      <c r="A33" s="1" t="s">
        <v>194</v>
      </c>
      <c r="B33" s="89" t="n">
        <f aca="false">INDEX(Inputs!$C$66:$E$66,$B$2)</f>
        <v>20</v>
      </c>
    </row>
    <row r="34" customFormat="false" ht="15" hidden="false" customHeight="false" outlineLevel="0" collapsed="false">
      <c r="A34" s="1" t="s">
        <v>197</v>
      </c>
      <c r="B34" s="72" t="n">
        <f aca="false">INDEX(Inputs!$C$67:$E$67,$B$2)</f>
        <v>2035</v>
      </c>
    </row>
    <row r="35" customFormat="false" ht="15" hidden="false" customHeight="false" outlineLevel="0" collapsed="false">
      <c r="A35" s="1" t="s">
        <v>198</v>
      </c>
      <c r="B35" s="90" t="n">
        <f aca="false">INDEX(Inputs!$C$68:$E$68,$B$2)</f>
        <v>0.4</v>
      </c>
    </row>
    <row r="36" customFormat="false" ht="15" hidden="false" customHeight="false" outlineLevel="0" collapsed="false">
      <c r="A36" s="1" t="s">
        <v>199</v>
      </c>
      <c r="B36" s="91" t="n">
        <f aca="false">INDEX(Inputs!$C$69:$E$69,$B$2)</f>
        <v>-0.02</v>
      </c>
    </row>
    <row r="37" customFormat="false" ht="15" hidden="false" customHeight="false" outlineLevel="0" collapsed="false">
      <c r="A37" s="1" t="s">
        <v>201</v>
      </c>
      <c r="B37" s="89" t="n">
        <f aca="false">INDEX(Inputs!$C$70:$E$70,$B$2)</f>
        <v>30</v>
      </c>
    </row>
    <row r="38" customFormat="false" ht="15" hidden="false" customHeight="false" outlineLevel="0" collapsed="false">
      <c r="A38" s="1" t="s">
        <v>202</v>
      </c>
      <c r="B38" s="91" t="n">
        <f aca="false">INDEX(Inputs!$C$71:$E$71,$B$2)</f>
        <v>0.18</v>
      </c>
    </row>
    <row r="39" customFormat="false" ht="15" hidden="false" customHeight="false" outlineLevel="0" collapsed="false">
      <c r="A39" s="1" t="s">
        <v>204</v>
      </c>
      <c r="B39" s="89" t="n">
        <f aca="false">INDEX(Inputs!$C$73:$E$73,$B$2)</f>
        <v>50</v>
      </c>
    </row>
    <row r="40" customFormat="false" ht="15" hidden="false" customHeight="false" outlineLevel="0" collapsed="false">
      <c r="A40" s="1" t="s">
        <v>206</v>
      </c>
      <c r="B40" s="72" t="n">
        <f aca="false">INDEX(Inputs!$C$74:$E$74,$B$2)</f>
        <v>2034</v>
      </c>
    </row>
    <row r="41" customFormat="false" ht="15" hidden="false" customHeight="false" outlineLevel="0" collapsed="false">
      <c r="A41" s="1" t="s">
        <v>207</v>
      </c>
      <c r="B41" s="90" t="n">
        <f aca="false">INDEX(Inputs!$C$75:$E$75,$B$2)</f>
        <v>0.45</v>
      </c>
    </row>
    <row r="42" customFormat="false" ht="15" hidden="false" customHeight="false" outlineLevel="0" collapsed="false">
      <c r="A42" s="1" t="s">
        <v>208</v>
      </c>
      <c r="B42" s="92" t="n">
        <f aca="false">INDEX(Inputs!$C$76:$E$76,$B$2)</f>
        <v>100</v>
      </c>
    </row>
    <row r="43" customFormat="false" ht="15" hidden="false" customHeight="false" outlineLevel="0" collapsed="false">
      <c r="A43" s="1" t="s">
        <v>211</v>
      </c>
      <c r="B43" s="91" t="n">
        <f aca="false">INDEX(Inputs!$C$77:$E$77,$B$2)</f>
        <v>0.8</v>
      </c>
    </row>
    <row r="44" customFormat="false" ht="15" hidden="false" customHeight="false" outlineLevel="0" collapsed="false">
      <c r="A44" s="1" t="s">
        <v>214</v>
      </c>
      <c r="B44" s="89" t="n">
        <f aca="false">INDEX(Inputs!$C$79:$E$79,$B$2)</f>
        <v>16</v>
      </c>
    </row>
    <row r="45" customFormat="false" ht="15" hidden="false" customHeight="false" outlineLevel="0" collapsed="false">
      <c r="A45" s="1" t="s">
        <v>217</v>
      </c>
      <c r="B45" s="72" t="n">
        <f aca="false">INDEX(Inputs!$C$80:$E$80,$B$2)</f>
        <v>2034</v>
      </c>
    </row>
    <row r="46" customFormat="false" ht="15" hidden="false" customHeight="false" outlineLevel="0" collapsed="false">
      <c r="A46" s="1" t="s">
        <v>218</v>
      </c>
      <c r="B46" s="90" t="n">
        <f aca="false">INDEX(Inputs!$C$81:$E$81,$B$2)</f>
        <v>0.5</v>
      </c>
    </row>
    <row r="47" customFormat="false" ht="15" hidden="false" customHeight="false" outlineLevel="0" collapsed="false">
      <c r="A47" s="1" t="s">
        <v>219</v>
      </c>
      <c r="B47" s="89" t="n">
        <f aca="false">INDEX(Inputs!$C$82:$E$82,$B$2)</f>
        <v>60</v>
      </c>
    </row>
    <row r="48" customFormat="false" ht="15" hidden="false" customHeight="false" outlineLevel="0" collapsed="false">
      <c r="A48" s="1" t="s">
        <v>221</v>
      </c>
      <c r="B48" s="67" t="n">
        <f aca="false">INDEX(Inputs!$C$83:$E$83,$B$2)</f>
        <v>1</v>
      </c>
    </row>
    <row r="49" customFormat="false" ht="15" hidden="false" customHeight="false" outlineLevel="0" collapsed="false">
      <c r="A49" s="1" t="s">
        <v>223</v>
      </c>
      <c r="B49" s="91" t="n">
        <f aca="false">INDEX(Inputs!$C$84:$E$84,$B$2)</f>
        <v>0.6</v>
      </c>
    </row>
    <row r="50" customFormat="false" ht="15" hidden="false" customHeight="false" outlineLevel="0" collapsed="false">
      <c r="A50" s="1" t="s">
        <v>225</v>
      </c>
      <c r="B50" s="89" t="n">
        <f aca="false">INDEX(Inputs!$C$86:$E$86,$B$2)</f>
        <v>12</v>
      </c>
    </row>
    <row r="51" customFormat="false" ht="15" hidden="false" customHeight="false" outlineLevel="0" collapsed="false">
      <c r="A51" s="1" t="s">
        <v>227</v>
      </c>
      <c r="B51" s="72" t="n">
        <f aca="false">INDEX(Inputs!$C$87:$E$87,$B$2)</f>
        <v>2036</v>
      </c>
    </row>
    <row r="52" customFormat="false" ht="15" hidden="false" customHeight="false" outlineLevel="0" collapsed="false">
      <c r="A52" s="1" t="s">
        <v>228</v>
      </c>
      <c r="B52" s="90" t="n">
        <f aca="false">INDEX(Inputs!$C$88:$E$88,$B$2)</f>
        <v>0.5</v>
      </c>
    </row>
    <row r="53" customFormat="false" ht="15" hidden="false" customHeight="false" outlineLevel="0" collapsed="false">
      <c r="A53" s="1" t="s">
        <v>229</v>
      </c>
      <c r="B53" s="89" t="n">
        <f aca="false">INDEX(Inputs!$C$89:$E$89,$B$2)</f>
        <v>20</v>
      </c>
    </row>
    <row r="54" customFormat="false" ht="15" hidden="false" customHeight="false" outlineLevel="0" collapsed="false">
      <c r="A54" s="1" t="s">
        <v>231</v>
      </c>
      <c r="B54" s="91" t="n">
        <f aca="false">INDEX(Inputs!$C$90:$E$90,$B$2)</f>
        <v>0.4</v>
      </c>
    </row>
    <row r="55" customFormat="false" ht="15" hidden="false" customHeight="false" outlineLevel="0" collapsed="false">
      <c r="A55" s="1" t="s">
        <v>233</v>
      </c>
      <c r="B55" s="93" t="n">
        <f aca="false">INDEX(Inputs!$C$92:$E$92,$B$2)</f>
        <v>1500</v>
      </c>
    </row>
    <row r="56" customFormat="false" ht="15" hidden="false" customHeight="false" outlineLevel="0" collapsed="false">
      <c r="A56" s="1" t="s">
        <v>236</v>
      </c>
      <c r="B56" s="72" t="n">
        <f aca="false">INDEX(Inputs!$C$93:$E$93,$B$2)</f>
        <v>2035</v>
      </c>
    </row>
    <row r="57" customFormat="false" ht="15" hidden="false" customHeight="false" outlineLevel="0" collapsed="false">
      <c r="A57" s="1" t="s">
        <v>237</v>
      </c>
      <c r="B57" s="90" t="n">
        <f aca="false">INDEX(Inputs!$C$94:$E$94,$B$2)</f>
        <v>0.35</v>
      </c>
    </row>
    <row r="58" customFormat="false" ht="15" hidden="false" customHeight="false" outlineLevel="0" collapsed="false">
      <c r="A58" s="1" t="s">
        <v>238</v>
      </c>
      <c r="B58" s="92" t="n">
        <f aca="false">INDEX(Inputs!$C$95:$E$95,$B$2)</f>
        <v>120</v>
      </c>
    </row>
    <row r="59" customFormat="false" ht="15" hidden="false" customHeight="false" outlineLevel="0" collapsed="false">
      <c r="A59" s="1" t="s">
        <v>239</v>
      </c>
      <c r="B59" s="91" t="n">
        <f aca="false">INDEX(Inputs!$C$96:$E$96,$B$2)</f>
        <v>0.25</v>
      </c>
    </row>
    <row r="60" customFormat="false" ht="15" hidden="false" customHeight="false" outlineLevel="0" collapsed="false">
      <c r="A60" s="1" t="s">
        <v>242</v>
      </c>
      <c r="B60" s="91" t="n">
        <f aca="false">INDEX(Inputs!$C$98:$E$98,$B$2)</f>
        <v>0.15</v>
      </c>
    </row>
    <row r="61" customFormat="false" ht="15" hidden="false" customHeight="false" outlineLevel="0" collapsed="false">
      <c r="A61" s="1" t="s">
        <v>243</v>
      </c>
      <c r="B61" s="91" t="n">
        <f aca="false">INDEX(Inputs!$C$99:$E$99,$B$2)</f>
        <v>0.15</v>
      </c>
    </row>
    <row r="62" customFormat="false" ht="15" hidden="false" customHeight="false" outlineLevel="0" collapsed="false">
      <c r="A62" s="1" t="s">
        <v>244</v>
      </c>
      <c r="B62" s="94" t="n">
        <f aca="false">INDEX(Inputs!$C$100:$E$100,$B$2)</f>
        <v>40</v>
      </c>
    </row>
    <row r="63" customFormat="false" ht="15" hidden="false" customHeight="false" outlineLevel="0" collapsed="false">
      <c r="A63" s="1" t="s">
        <v>245</v>
      </c>
      <c r="B63" s="94" t="n">
        <f aca="false">INDEX(Inputs!$C$101:$E$101,$B$2)</f>
        <v>20</v>
      </c>
    </row>
    <row r="64" customFormat="false" ht="15" hidden="false" customHeight="false" outlineLevel="0" collapsed="false">
      <c r="A64" s="1" t="s">
        <v>246</v>
      </c>
      <c r="B64" s="91" t="n">
        <f aca="false">INDEX(Inputs!$C$102:$E$102,$B$2)</f>
        <v>0.005</v>
      </c>
    </row>
    <row r="65" customFormat="false" ht="15" hidden="false" customHeight="false" outlineLevel="0" collapsed="false">
      <c r="A65" s="1" t="s">
        <v>248</v>
      </c>
      <c r="B65" s="93" t="n">
        <f aca="false">INDEX(Inputs!$C$104:$E$104,$B$2)</f>
        <v>2200</v>
      </c>
    </row>
    <row r="66" customFormat="false" ht="15" hidden="false" customHeight="false" outlineLevel="0" collapsed="false">
      <c r="A66" s="1" t="s">
        <v>251</v>
      </c>
      <c r="B66" s="72" t="n">
        <f aca="false">INDEX(Inputs!$C$105:$E$105,$B$2)</f>
        <v>2030</v>
      </c>
    </row>
    <row r="67" customFormat="false" ht="15" hidden="false" customHeight="false" outlineLevel="0" collapsed="false">
      <c r="A67" s="1" t="s">
        <v>252</v>
      </c>
      <c r="B67" s="90" t="n">
        <f aca="false">INDEX(Inputs!$C$106:$E$106,$B$2)</f>
        <v>0.6</v>
      </c>
    </row>
    <row r="68" customFormat="false" ht="15" hidden="false" customHeight="false" outlineLevel="0" collapsed="false">
      <c r="A68" s="1" t="s">
        <v>253</v>
      </c>
      <c r="B68" s="91" t="n">
        <f aca="false">INDEX(Inputs!$C$107:$E$107,$B$2)</f>
        <v>0.45</v>
      </c>
    </row>
    <row r="69" customFormat="false" ht="15" hidden="false" customHeight="false" outlineLevel="0" collapsed="false">
      <c r="A69" s="1" t="s">
        <v>255</v>
      </c>
      <c r="B69" s="91" t="n">
        <f aca="false">INDEX(Inputs!$C$108:$E$108,$B$2)</f>
        <v>0.015</v>
      </c>
    </row>
    <row r="70" customFormat="false" ht="15" hidden="false" customHeight="false" outlineLevel="0" collapsed="false">
      <c r="A70" s="1" t="s">
        <v>257</v>
      </c>
      <c r="B70" s="91" t="n">
        <f aca="false">INDEX(Inputs!$C$109:$E$109,$B$2)</f>
        <v>0.1</v>
      </c>
    </row>
  </sheetData>
  <conditionalFormatting sqref="A8:AP28">
    <cfRule type="expression" priority="2" aboveAverage="0" equalAverage="0" bottom="0" percent="0" rank="0" text="" dxfId="7">
      <formula>AND(Inputs!$B$19="Yes",$A8=Inputs!$B$20)</formula>
    </cfRule>
  </conditionalFormatting>
  <conditionalFormatting sqref="AN8:AN28">
    <cfRule type="dataBar" priority="3">
      <dataBar showValue="1" minLength="10" maxLength="90">
        <cfvo type="num" val="0"/>
        <cfvo type="max" val="0"/>
        <color rgb="FF63BE7B"/>
      </dataBar>
      <extLst>
        <ext xmlns:x14="http://schemas.microsoft.com/office/spreadsheetml/2009/9/main" uri="{B025F937-C7B1-47D3-B67F-A62EFF666E3E}">
          <x14:id>{B0FC279C-7630-44A8-8328-4C16A0C4E5FB}</x14:id>
        </ext>
      </extLst>
    </cfRule>
  </conditionalFormatting>
  <conditionalFormatting sqref="AP8:AP28">
    <cfRule type="colorScale" priority="4">
      <colorScale>
        <cfvo type="num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FC279C-7630-44A8-8328-4C16A0C4E5FB}">
            <x14:dataBar minLength="10" maxLength="90" axisPosition="none" gradient="true">
              <x14:cfvo type="num">
                <xm:f>0</xm:f>
              </x14:cfvo>
              <x14:cfvo type="max"/>
              <x14:negativeFillColor rgb="FF63BE7B"/>
              <x14:axisColor rgb="FF000000"/>
            </x14:dataBar>
          </x14:cfRule>
          <xm:sqref>AN8:AN28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42" min="1" style="1" width="12"/>
  </cols>
  <sheetData>
    <row r="1" customFormat="false" ht="19.7" hidden="false" customHeight="false" outlineLevel="0" collapsed="false">
      <c r="A1" s="31" t="s">
        <v>347</v>
      </c>
    </row>
    <row r="2" customFormat="false" ht="15" hidden="false" customHeight="false" outlineLevel="0" collapsed="false">
      <c r="A2" s="1" t="s">
        <v>302</v>
      </c>
      <c r="B2" s="69" t="n">
        <f aca="false">1</f>
        <v>1</v>
      </c>
      <c r="C2" s="70" t="str">
        <f aca="false">INDEX(Inputs!$C$64:$E$64,$B$2)</f>
        <v>Tesla hits all targets</v>
      </c>
    </row>
    <row r="3" customFormat="false" ht="15" hidden="false" customHeight="false" outlineLevel="0" collapsed="false">
      <c r="A3" s="25" t="s">
        <v>303</v>
      </c>
    </row>
    <row r="4" customFormat="false" ht="15" hidden="false" customHeight="false" outlineLevel="0" collapsed="false">
      <c r="A4" s="1" t="s">
        <v>304</v>
      </c>
      <c r="B4" s="71" t="n">
        <f aca="false">IF(Inputs!$B$21="Manual",Inputs!$B$23,IF(Inputs!$B$21="Projected prices in merger year",INDEX($AB$8:$AB$28,MATCH($B$5,$A$8:$A$28,0))/INDEX($AG$8:$AG$28,MATCH($B$5,$A$8:$A$28,0)),Inputs!$B$9/Inputs!$B$12)*(1+Inputs!$B$22))</f>
        <v>2.33543003051629</v>
      </c>
    </row>
    <row r="5" customFormat="false" ht="15" hidden="false" customHeight="false" outlineLevel="0" collapsed="false">
      <c r="A5" s="1" t="s">
        <v>305</v>
      </c>
      <c r="B5" s="72" t="n">
        <f aca="false">Inputs!$B$20</f>
        <v>2027</v>
      </c>
    </row>
    <row r="7" customFormat="false" ht="60" hidden="false" customHeight="true" outlineLevel="0" collapsed="false">
      <c r="A7" s="17" t="s">
        <v>31</v>
      </c>
      <c r="B7" s="17" t="s">
        <v>306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312</v>
      </c>
      <c r="I7" s="17" t="s">
        <v>313</v>
      </c>
      <c r="J7" s="17" t="s">
        <v>314</v>
      </c>
      <c r="K7" s="17" t="s">
        <v>315</v>
      </c>
      <c r="L7" s="17" t="s">
        <v>316</v>
      </c>
      <c r="M7" s="17" t="s">
        <v>317</v>
      </c>
      <c r="N7" s="17" t="s">
        <v>318</v>
      </c>
      <c r="O7" s="17" t="s">
        <v>319</v>
      </c>
      <c r="P7" s="17" t="s">
        <v>320</v>
      </c>
      <c r="Q7" s="17" t="s">
        <v>321</v>
      </c>
      <c r="R7" s="17" t="s">
        <v>322</v>
      </c>
      <c r="S7" s="17" t="s">
        <v>323</v>
      </c>
      <c r="T7" s="17" t="s">
        <v>324</v>
      </c>
      <c r="U7" s="17" t="s">
        <v>325</v>
      </c>
      <c r="V7" s="17" t="s">
        <v>326</v>
      </c>
      <c r="W7" s="17" t="s">
        <v>327</v>
      </c>
      <c r="X7" s="17" t="s">
        <v>328</v>
      </c>
      <c r="Y7" s="17" t="s">
        <v>329</v>
      </c>
      <c r="Z7" s="17" t="s">
        <v>330</v>
      </c>
      <c r="AA7" s="17" t="s">
        <v>331</v>
      </c>
      <c r="AB7" s="17" t="s">
        <v>332</v>
      </c>
      <c r="AC7" s="17" t="s">
        <v>333</v>
      </c>
      <c r="AD7" s="17" t="s">
        <v>334</v>
      </c>
      <c r="AE7" s="17" t="s">
        <v>335</v>
      </c>
      <c r="AF7" s="17" t="s">
        <v>336</v>
      </c>
      <c r="AG7" s="17" t="s">
        <v>337</v>
      </c>
      <c r="AH7" s="17" t="s">
        <v>338</v>
      </c>
      <c r="AI7" s="17" t="s">
        <v>339</v>
      </c>
      <c r="AJ7" s="17" t="s">
        <v>340</v>
      </c>
      <c r="AK7" s="17" t="s">
        <v>341</v>
      </c>
      <c r="AL7" s="17" t="s">
        <v>342</v>
      </c>
      <c r="AM7" s="17" t="s">
        <v>34</v>
      </c>
      <c r="AN7" s="17" t="s">
        <v>35</v>
      </c>
      <c r="AO7" s="17" t="s">
        <v>343</v>
      </c>
      <c r="AP7" s="17" t="s">
        <v>344</v>
      </c>
    </row>
    <row r="8" customFormat="false" ht="15" hidden="false" customHeight="false" outlineLevel="0" collapsed="false">
      <c r="A8" s="73" t="n">
        <v>2026</v>
      </c>
      <c r="B8" s="73" t="n">
        <f aca="false">A8-2026</f>
        <v>0</v>
      </c>
      <c r="C8" s="74" t="n">
        <f aca="false">MIN(1,B8/Inputs!$B$27)</f>
        <v>0</v>
      </c>
      <c r="D8" s="75" t="n">
        <f aca="false">Inputs!$B$30+($B$33-Inputs!$B$30)*((1/(1+EXP(-$B$35*($A8-$B$34))))-(1/(1+EXP(-$B$35*(2026-$B$34)))))/(1-(1/(1+EXP(-$B$35*(2026-$B$34)))))</f>
        <v>1.81</v>
      </c>
      <c r="E8" s="76" t="n">
        <f aca="false">Inputs!$B$31+D8+J8</f>
        <v>10.712</v>
      </c>
      <c r="F8" s="76" t="n">
        <f aca="false">MAX($B$37,Inputs!$B$32*(1+$B$36)^B8)</f>
        <v>41.5</v>
      </c>
      <c r="G8" s="24" t="n">
        <f aca="false">D8*F8</f>
        <v>75.115</v>
      </c>
      <c r="H8" s="75" t="n">
        <f aca="false">Inputs!$B$34+($B$39-Inputs!$B$34)*((1/(1+EXP(-$B$41*($A8-$B$40))))-(1/(1+EXP(-$B$41*(2026-$B$40)))))/(1-(1/(1+EXP(-$B$41*(2026-$B$40)))))</f>
        <v>1.6</v>
      </c>
      <c r="I8" s="24" t="n">
        <f aca="false">H8*$B$42*12/1000</f>
        <v>1.92</v>
      </c>
      <c r="J8" s="77" t="n">
        <f aca="false">Inputs!$B$35+($B$44-Inputs!$B$35)*((1/(1+EXP(-$B$46*($A8-$B$45))))-(1/(1+EXP(-$B$46*(2026-$B$45)))))/(1-(1/(1+EXP(-$B$46*(2026-$B$45)))))</f>
        <v>0.002</v>
      </c>
      <c r="K8" s="77" t="n">
        <f aca="false">J8/2</f>
        <v>0.001</v>
      </c>
      <c r="L8" s="75" t="n">
        <f aca="false">MAX($B$48,Inputs!$B$36*(1-Inputs!$B$37)^B8)</f>
        <v>1.5</v>
      </c>
      <c r="M8" s="24" t="n">
        <f aca="false">K8*$B$47*L8</f>
        <v>0.09</v>
      </c>
      <c r="N8" s="77" t="n">
        <f aca="false">Inputs!$B$39+($B$50-Inputs!$B$39)*((1/(1+EXP(-$B$52*($A8-$B$51))))-(1/(1+EXP(-$B$52*(2026-$B$51)))))/(1-(1/(1+EXP(-$B$52*(2026-$B$51)))))</f>
        <v>0.005</v>
      </c>
      <c r="O8" s="75" t="n">
        <f aca="false">N8</f>
        <v>0.005</v>
      </c>
      <c r="P8" s="76" t="n">
        <f aca="false">MAX($B$53,Inputs!$B$40*(1-Inputs!$B$41)^B8)</f>
        <v>50</v>
      </c>
      <c r="Q8" s="24" t="n">
        <f aca="false">N8*P8</f>
        <v>0.25</v>
      </c>
      <c r="R8" s="22" t="n">
        <f aca="false">Inputs!$B$43+($B$55-Inputs!$B$43)*((1/(1+EXP(-$B$57*($A8-$B$56))))-(1/(1+EXP(-$B$57*(2026-$B$56)))))/(1-(1/(1+EXP(-$B$57*(2026-$B$56)))))</f>
        <v>52</v>
      </c>
      <c r="S8" s="73" t="n">
        <f aca="false">MAX($B$58,Inputs!$B$44*(1-Inputs!$B$45)^B8)</f>
        <v>245</v>
      </c>
      <c r="T8" s="24" t="n">
        <f aca="false">R8*S8/1000</f>
        <v>12.74</v>
      </c>
      <c r="U8" s="24" t="n">
        <f aca="false">Inputs!$B$47</f>
        <v>17.5</v>
      </c>
      <c r="V8" s="78" t="n">
        <f aca="false">G8+I8+M8+Q8+T8+U8</f>
        <v>107.615</v>
      </c>
      <c r="W8" s="24" t="n">
        <f aca="false">G8*(Inputs!$B$33+($B$38-Inputs!$B$33)*C8)+I8*$B$43+M8*(Inputs!$B$38+($B$49-Inputs!$B$38)*C8)+Q8*(Inputs!$B$42+($B$54-Inputs!$B$42)*C8)+T8*(Inputs!$B$46+($B$59-Inputs!$B$46)*C8)+U8*$B$61-V8*Inputs!$B$49</f>
        <v>13.3385</v>
      </c>
      <c r="X8" s="24" t="n">
        <f aca="false">(W8-V8*(Inputs!$B$50+Inputs!$B$51))*(1-Inputs!$B$52)</f>
        <v>2.03583</v>
      </c>
      <c r="Y8" s="76" t="n">
        <f aca="false">$B$62+($B$63-$B$62)*MIN(1,MAX(0,(A8-2027)/(Inputs!$B$26-2027)))</f>
        <v>40</v>
      </c>
      <c r="Z8" s="77" t="n">
        <f aca="false">Inputs!$B$11*(1+$B$64)^B8</f>
        <v>3.949547394</v>
      </c>
      <c r="AA8" s="22" t="n">
        <f aca="false">MIN(1,B8/Inputs!$B$25)*(W9*Y8+Inputs!$B$28)+(1-MIN(1,B8/Inputs!$B$25))*Inputs!$B$9*Inputs!$B$11</f>
        <v>1481.08027275</v>
      </c>
      <c r="AB8" s="79" t="n">
        <f aca="false">AA8/Z8</f>
        <v>375</v>
      </c>
      <c r="AC8" s="22" t="n">
        <f aca="false">Inputs!$B$53+($B$65-Inputs!$B$53)*((1/(1+EXP(-$B$67*($A8-$B$66))))-(1/(1+EXP(-$B$67*(2026-$B$66)))))/(1-(1/(1+EXP(-$B$67*(2026-$B$66)))))</f>
        <v>32</v>
      </c>
      <c r="AD8" s="22" t="n">
        <f aca="false">AC8*(Inputs!$B$54+($B$68-Inputs!$B$54)*C8)</f>
        <v>11.2</v>
      </c>
      <c r="AE8" s="75" t="n">
        <f aca="false">Inputs!$B$13*(1+$B$69)^B8</f>
        <v>13.57</v>
      </c>
      <c r="AF8" s="22" t="n">
        <f aca="false">MIN(1,B8/Inputs!$B$25)*(AD9*Y8)+(1-MIN(1,B8/Inputs!$B$25))*Inputs!$B$12*Inputs!$B$13</f>
        <v>2178.9349</v>
      </c>
      <c r="AG8" s="19" t="n">
        <f aca="false">AF8/AE8</f>
        <v>160.57</v>
      </c>
      <c r="AH8" s="73" t="n">
        <f aca="false">IF(AND(Inputs!$B$19="Yes",A8&gt;=$B$5),1,0)</f>
        <v>0</v>
      </c>
      <c r="AI8" s="22" t="n">
        <f aca="false">(AA8+AF8)*(1+IF(AH8=1,$B$70*MIN(1,(A8-$B$5+1)/3),0))</f>
        <v>3660.01517275</v>
      </c>
      <c r="AJ8" s="75" t="n">
        <f aca="false">AE8+Z8*$B$4</f>
        <v>22.7938915908949</v>
      </c>
      <c r="AK8" s="58" t="n">
        <f aca="false">IF(AH8=1,Z8*$B$4/AJ8,1)</f>
        <v>1</v>
      </c>
      <c r="AL8" s="79" t="n">
        <f aca="false">IF(AH8=1,$B$4*AI8/AJ8,AB8)</f>
        <v>375</v>
      </c>
      <c r="AM8" s="19" t="n">
        <f aca="false">AL8*Holdings!$D$15</f>
        <v>138180</v>
      </c>
      <c r="AN8" s="80" t="n">
        <f aca="false">AM8/Inputs!$B$14</f>
        <v>104452.339557034</v>
      </c>
      <c r="AO8" s="21" t="n">
        <f aca="false">AN8/(1+Inputs!$B$17)^B8</f>
        <v>104452.339557034</v>
      </c>
      <c r="AP8" s="20" t="n">
        <f aca="false">AL8/Inputs!$B$9</f>
        <v>1</v>
      </c>
    </row>
    <row r="9" customFormat="false" ht="15" hidden="false" customHeight="false" outlineLevel="0" collapsed="false">
      <c r="A9" s="73" t="n">
        <v>2027</v>
      </c>
      <c r="B9" s="73" t="n">
        <f aca="false">A9-2026</f>
        <v>1</v>
      </c>
      <c r="C9" s="74" t="n">
        <f aca="false">MIN(1,B9/Inputs!$B$27)</f>
        <v>0.166666666666667</v>
      </c>
      <c r="D9" s="75" t="n">
        <f aca="false">Inputs!$B$30+($B$33-Inputs!$B$30)*((1/(1+EXP(-$B$35*($A9-$B$34))))-(1/(1+EXP(-$B$35*(2026-$B$34)))))/(1-(1/(1+EXP(-$B$35*(2026-$B$34)))))</f>
        <v>2.04487207559597</v>
      </c>
      <c r="E9" s="76" t="n">
        <f aca="false">E8-J8+D9+J9</f>
        <v>12.9413844342052</v>
      </c>
      <c r="F9" s="76" t="n">
        <f aca="false">MAX($B$37,Inputs!$B$32*(1+$B$36)^B9)</f>
        <v>40.67</v>
      </c>
      <c r="G9" s="24" t="n">
        <f aca="false">D9*F9</f>
        <v>83.1649473144879</v>
      </c>
      <c r="H9" s="75" t="n">
        <f aca="false">Inputs!$B$34+($B$39-Inputs!$B$34)*((1/(1+EXP(-$B$41*($A9-$B$40))))-(1/(1+EXP(-$B$41*(2026-$B$40)))))/(1-(1/(1+EXP(-$B$41*(2026-$B$40)))))</f>
        <v>2.32069160579236</v>
      </c>
      <c r="I9" s="24" t="n">
        <f aca="false">H9*$B$42*12/1000</f>
        <v>2.78482992695083</v>
      </c>
      <c r="J9" s="77" t="n">
        <f aca="false">Inputs!$B$35+($B$44-Inputs!$B$35)*((1/(1+EXP(-$B$46*($A9-$B$45))))-(1/(1+EXP(-$B$46*(2026-$B$45)))))/(1-(1/(1+EXP(-$B$46*(2026-$B$45)))))</f>
        <v>0.186512358609204</v>
      </c>
      <c r="K9" s="77" t="n">
        <f aca="false">(J9+J8)/2</f>
        <v>0.0942561793046018</v>
      </c>
      <c r="L9" s="75" t="n">
        <f aca="false">MAX($B$48,Inputs!$B$36*(1-Inputs!$B$37)^B9)</f>
        <v>1.425</v>
      </c>
      <c r="M9" s="24" t="n">
        <f aca="false">K9*$B$47*L9</f>
        <v>8.05890333054345</v>
      </c>
      <c r="N9" s="77" t="n">
        <f aca="false">Inputs!$B$39+($B$50-Inputs!$B$39)*((1/(1+EXP(-$B$52*($A9-$B$51))))-(1/(1+EXP(-$B$52*(2026-$B$51)))))/(1-(1/(1+EXP(-$B$52*(2026-$B$51)))))</f>
        <v>0.0568546856982725</v>
      </c>
      <c r="O9" s="75" t="n">
        <f aca="false">O8+N9</f>
        <v>0.0618546856982725</v>
      </c>
      <c r="P9" s="76" t="n">
        <f aca="false">MAX($B$53,Inputs!$B$40*(1-Inputs!$B$41)^B9)</f>
        <v>46</v>
      </c>
      <c r="Q9" s="24" t="n">
        <f aca="false">N9*P9</f>
        <v>2.61531554212054</v>
      </c>
      <c r="R9" s="22" t="n">
        <f aca="false">Inputs!$B$43+($B$55-Inputs!$B$43)*((1/(1+EXP(-$B$57*($A9-$B$56))))-(1/(1+EXP(-$B$57*(2026-$B$56)))))/(1-(1/(1+EXP(-$B$57*(2026-$B$56)))))</f>
        <v>76.5124852167134</v>
      </c>
      <c r="S9" s="73" t="n">
        <f aca="false">MAX($B$58,Inputs!$B$44*(1-Inputs!$B$45)^B9)</f>
        <v>235.2</v>
      </c>
      <c r="T9" s="24" t="n">
        <f aca="false">R9*S9/1000</f>
        <v>17.995736522971</v>
      </c>
      <c r="U9" s="24" t="n">
        <f aca="false">U8*(1+$B$60*Inputs!$B$48^(B9-1))</f>
        <v>20.125</v>
      </c>
      <c r="V9" s="78" t="n">
        <f aca="false">G9+I9+M9+Q9+T9+U9</f>
        <v>134.744732637074</v>
      </c>
      <c r="W9" s="24" t="n">
        <f aca="false">G9*(Inputs!$B$33+($B$38-Inputs!$B$33)*C9)+I9*$B$43+M9*(Inputs!$B$38+($B$49-Inputs!$B$38)*C9)+Q9*(Inputs!$B$42+($B$54-Inputs!$B$42)*C9)+T9*(Inputs!$B$46+($B$59-Inputs!$B$46)*C9)+U9*$B$61-V9*Inputs!$B$49</f>
        <v>17.2562398545074</v>
      </c>
      <c r="X9" s="24" t="n">
        <f aca="false">(W9-V9*(Inputs!$B$50+Inputs!$B$51))*(1-Inputs!$B$52)</f>
        <v>2.98759560673204</v>
      </c>
      <c r="Y9" s="76" t="n">
        <f aca="false">$B$62+($B$63-$B$62)*MIN(1,MAX(0,(A9-2027)/(Inputs!$B$26-2027)))</f>
        <v>40</v>
      </c>
      <c r="Z9" s="77" t="n">
        <f aca="false">Inputs!$B$11*(1+$B$64)^B9</f>
        <v>3.96929513097</v>
      </c>
      <c r="AA9" s="22" t="n">
        <f aca="false">MIN(1,B9/Inputs!$B$25)*(W10*Y9+Inputs!$B$28)+(1-MIN(1,B9/Inputs!$B$25))*Inputs!$B$9*Inputs!$B$11</f>
        <v>1368.57591700629</v>
      </c>
      <c r="AB9" s="79" t="n">
        <f aca="false">AA9/Z9</f>
        <v>344.790667322297</v>
      </c>
      <c r="AC9" s="22" t="n">
        <f aca="false">Inputs!$B$53+($B$65-Inputs!$B$53)*((1/(1+EXP(-$B$67*($A9-$B$66))))-(1/(1+EXP(-$B$67*(2026-$B$66)))))/(1-(1/(1+EXP(-$B$67*(2026-$B$66)))))</f>
        <v>170.755360163192</v>
      </c>
      <c r="AD9" s="22" t="n">
        <f aca="false">AC9*(Inputs!$B$54+($B$68-Inputs!$B$54)*C9)</f>
        <v>62.6102987265037</v>
      </c>
      <c r="AE9" s="75" t="n">
        <f aca="false">Inputs!$B$13*(1+$B$69)^B9</f>
        <v>13.77355</v>
      </c>
      <c r="AF9" s="22" t="n">
        <f aca="false">MIN(1,B9/Inputs!$B$25)*(AD10*Y9)+(1-MIN(1,B9/Inputs!$B$25))*Inputs!$B$12*Inputs!$B$13</f>
        <v>3408.58153520443</v>
      </c>
      <c r="AG9" s="19" t="n">
        <f aca="false">AF9/AE9</f>
        <v>247.472985192955</v>
      </c>
      <c r="AH9" s="73" t="n">
        <f aca="false">IF(AND(Inputs!$B$19="Yes",A9&gt;=$B$5),1,0)</f>
        <v>1</v>
      </c>
      <c r="AI9" s="22" t="n">
        <f aca="false">(AA9+AF9)*(1+IF(AH9=1,$B$70*MIN(1,(A9-$B$5+1)/3),0))</f>
        <v>4936.39603395107</v>
      </c>
      <c r="AJ9" s="75" t="n">
        <f aca="false">AE9+Z9*$B$4</f>
        <v>23.0435610488494</v>
      </c>
      <c r="AK9" s="58" t="n">
        <f aca="false">IF(AH9=1,Z9*$B$4/AJ9,1)</f>
        <v>0.402282053073228</v>
      </c>
      <c r="AL9" s="79" t="n">
        <f aca="false">IF(AH9=1,$B$4*AI9/AJ9,AB9)</f>
        <v>500.296265658405</v>
      </c>
      <c r="AM9" s="19" t="n">
        <f aca="false">AL9*Holdings!$D$15</f>
        <v>184349.167969809</v>
      </c>
      <c r="AN9" s="80" t="n">
        <f aca="false">AM9/Inputs!$B$14</f>
        <v>139352.30778578</v>
      </c>
      <c r="AO9" s="21" t="n">
        <f aca="false">AN9/(1+Inputs!$B$17)^B9</f>
        <v>135953.471010518</v>
      </c>
      <c r="AP9" s="20" t="n">
        <f aca="false">AL9/Inputs!$B$9</f>
        <v>1.33412337508908</v>
      </c>
    </row>
    <row r="10" customFormat="false" ht="15" hidden="false" customHeight="false" outlineLevel="0" collapsed="false">
      <c r="A10" s="73" t="n">
        <v>2028</v>
      </c>
      <c r="B10" s="73" t="n">
        <f aca="false">A10-2026</f>
        <v>2</v>
      </c>
      <c r="C10" s="74" t="n">
        <f aca="false">MIN(1,B10/Inputs!$B$27)</f>
        <v>0.333333333333333</v>
      </c>
      <c r="D10" s="75" t="n">
        <f aca="false">Inputs!$B$30+($B$33-Inputs!$B$30)*((1/(1+EXP(-$B$35*($A10-$B$34))))-(1/(1+EXP(-$B$35*(2026-$B$34)))))/(1-(1/(1+EXP(-$B$35*(2026-$B$34)))))</f>
        <v>2.38419942485186</v>
      </c>
      <c r="E10" s="76" t="n">
        <f aca="false">E9-J9+D10+J10</f>
        <v>15.6206734540039</v>
      </c>
      <c r="F10" s="76" t="n">
        <f aca="false">MAX($B$37,Inputs!$B$32*(1+$B$36)^B10)</f>
        <v>39.8566</v>
      </c>
      <c r="G10" s="24" t="n">
        <f aca="false">D10*F10</f>
        <v>95.0260827965505</v>
      </c>
      <c r="H10" s="75" t="n">
        <f aca="false">Inputs!$B$34+($B$39-Inputs!$B$34)*((1/(1+EXP(-$B$41*($A10-$B$40))))-(1/(1+EXP(-$B$41*(2026-$B$40)))))/(1-(1/(1+EXP(-$B$41*(2026-$B$40)))))</f>
        <v>3.4087225254295</v>
      </c>
      <c r="I10" s="24" t="n">
        <f aca="false">H10*$B$42*12/1000</f>
        <v>4.09046703051541</v>
      </c>
      <c r="J10" s="77" t="n">
        <f aca="false">Inputs!$B$35+($B$44-Inputs!$B$35)*((1/(1+EXP(-$B$46*($A10-$B$45))))-(1/(1+EXP(-$B$46*(2026-$B$45)))))/(1-(1/(1+EXP(-$B$46*(2026-$B$45)))))</f>
        <v>0.481601953556061</v>
      </c>
      <c r="K10" s="77" t="n">
        <f aca="false">(J10+J9)/2</f>
        <v>0.334057156082632</v>
      </c>
      <c r="L10" s="75" t="n">
        <f aca="false">MAX($B$48,Inputs!$B$36*(1-Inputs!$B$37)^B10)</f>
        <v>1.35375</v>
      </c>
      <c r="M10" s="24" t="n">
        <f aca="false">K10*$B$47*L10</f>
        <v>27.1337925028118</v>
      </c>
      <c r="N10" s="77" t="n">
        <f aca="false">Inputs!$B$39+($B$50-Inputs!$B$39)*((1/(1+EXP(-$B$52*($A10-$B$51))))-(1/(1+EXP(-$B$52*(2026-$B$51)))))/(1-(1/(1+EXP(-$B$52*(2026-$B$51)))))</f>
        <v>0.141376589843879</v>
      </c>
      <c r="O10" s="75" t="n">
        <f aca="false">O9+N10</f>
        <v>0.203231275542151</v>
      </c>
      <c r="P10" s="76" t="n">
        <f aca="false">MAX($B$53,Inputs!$B$40*(1-Inputs!$B$41)^B10)</f>
        <v>42.32</v>
      </c>
      <c r="Q10" s="24" t="n">
        <f aca="false">N10*P10</f>
        <v>5.98305728219295</v>
      </c>
      <c r="R10" s="22" t="n">
        <f aca="false">Inputs!$B$43+($B$55-Inputs!$B$43)*((1/(1+EXP(-$B$57*($A10-$B$56))))-(1/(1+EXP(-$B$57*(2026-$B$56)))))/(1-(1/(1+EXP(-$B$57*(2026-$B$56)))))</f>
        <v>109.906291935611</v>
      </c>
      <c r="S10" s="73" t="n">
        <f aca="false">MAX($B$58,Inputs!$B$44*(1-Inputs!$B$45)^B10)</f>
        <v>225.792</v>
      </c>
      <c r="T10" s="24" t="n">
        <f aca="false">R10*S10/1000</f>
        <v>24.8159614687255</v>
      </c>
      <c r="U10" s="24" t="n">
        <f aca="false">U9*(1+$B$60*Inputs!$B$48^(B10-1))</f>
        <v>22.9324375</v>
      </c>
      <c r="V10" s="78" t="n">
        <f aca="false">G10+I10+M10+Q10+T10+U10</f>
        <v>179.981798580796</v>
      </c>
      <c r="W10" s="24" t="n">
        <f aca="false">G10*(Inputs!$B$33+($B$38-Inputs!$B$33)*C10)+I10*$B$43+M10*(Inputs!$B$38+($B$49-Inputs!$B$38)*C10)+Q10*(Inputs!$B$42+($B$54-Inputs!$B$42)*C10)+T10*(Inputs!$B$46+($B$59-Inputs!$B$46)*C10)+U10*$B$61-V10*Inputs!$B$49</f>
        <v>27.6466801379717</v>
      </c>
      <c r="X10" s="24" t="n">
        <f aca="false">(W10-V10*(Inputs!$B$50+Inputs!$B$51))*(1-Inputs!$B$52)</f>
        <v>7.62231522111474</v>
      </c>
      <c r="Y10" s="76" t="n">
        <f aca="false">$B$62+($B$63-$B$62)*MIN(1,MAX(0,(A10-2027)/(Inputs!$B$26-2027)))</f>
        <v>38.1818181818182</v>
      </c>
      <c r="Z10" s="77" t="n">
        <f aca="false">Inputs!$B$11*(1+$B$64)^B10</f>
        <v>3.98914160662485</v>
      </c>
      <c r="AA10" s="22" t="n">
        <f aca="false">MIN(1,B10/Inputs!$B$25)*(W11*Y10+Inputs!$B$28)+(1-MIN(1,B10/Inputs!$B$25))*Inputs!$B$9*Inputs!$B$11</f>
        <v>1713.79869348861</v>
      </c>
      <c r="AB10" s="79" t="n">
        <f aca="false">AA10/Z10</f>
        <v>429.615908004487</v>
      </c>
      <c r="AC10" s="22" t="n">
        <f aca="false">Inputs!$B$53+($B$65-Inputs!$B$53)*((1/(1+EXP(-$B$67*($A10-$B$66))))-(1/(1+EXP(-$B$67*(2026-$B$66)))))/(1-(1/(1+EXP(-$B$67*(2026-$B$66)))))</f>
        <v>382.687487322605</v>
      </c>
      <c r="AD10" s="22" t="n">
        <f aca="false">AC10*(Inputs!$B$54+($B$68-Inputs!$B$54)*C10)</f>
        <v>146.696870140332</v>
      </c>
      <c r="AE10" s="75" t="n">
        <f aca="false">Inputs!$B$13*(1+$B$69)^B10</f>
        <v>13.98015325</v>
      </c>
      <c r="AF10" s="22" t="n">
        <f aca="false">MIN(1,B10/Inputs!$B$25)*(AD11*Y10)+(1-MIN(1,B10/Inputs!$B$25))*Inputs!$B$12*Inputs!$B$13</f>
        <v>7581.03430446132</v>
      </c>
      <c r="AG10" s="19" t="n">
        <f aca="false">AF10/AE10</f>
        <v>542.271187510861</v>
      </c>
      <c r="AH10" s="73" t="n">
        <f aca="false">IF(AND(Inputs!$B$19="Yes",A10&gt;=$B$5),1,0)</f>
        <v>1</v>
      </c>
      <c r="AI10" s="22" t="n">
        <f aca="false">(AA10+AF10)*(1+IF(AH10=1,$B$70*MIN(1,(A10-$B$5+1)/3),0))</f>
        <v>9914.4885311466</v>
      </c>
      <c r="AJ10" s="75" t="n">
        <f aca="false">AE10+Z10*$B$4</f>
        <v>23.2965143540937</v>
      </c>
      <c r="AK10" s="58" t="n">
        <f aca="false">IF(AH10=1,Z10*$B$4/AJ10,1)</f>
        <v>0.399903649210792</v>
      </c>
      <c r="AL10" s="79" t="n">
        <f aca="false">IF(AH10=1,$B$4*AI10/AJ10,AB10)</f>
        <v>993.908097190529</v>
      </c>
      <c r="AM10" s="19" t="n">
        <f aca="false">AL10*Holdings!$D$15</f>
        <v>366235.255652766</v>
      </c>
      <c r="AN10" s="80" t="n">
        <f aca="false">AM10/Inputs!$B$14</f>
        <v>276842.736149948</v>
      </c>
      <c r="AO10" s="21" t="n">
        <f aca="false">AN10/(1+Inputs!$B$17)^B10</f>
        <v>263502.901748909</v>
      </c>
      <c r="AP10" s="20" t="n">
        <f aca="false">AL10/Inputs!$B$9</f>
        <v>2.65042159250808</v>
      </c>
    </row>
    <row r="11" customFormat="false" ht="15" hidden="false" customHeight="false" outlineLevel="0" collapsed="false">
      <c r="A11" s="73" t="n">
        <v>2029</v>
      </c>
      <c r="B11" s="73" t="n">
        <f aca="false">A11-2026</f>
        <v>3</v>
      </c>
      <c r="C11" s="74" t="n">
        <f aca="false">MIN(1,B11/Inputs!$B$27)</f>
        <v>0.5</v>
      </c>
      <c r="D11" s="75" t="n">
        <f aca="false">Inputs!$B$30+($B$33-Inputs!$B$30)*((1/(1+EXP(-$B$35*($A11-$B$34))))-(1/(1+EXP(-$B$35*(2026-$B$34)))))/(1-(1/(1+EXP(-$B$35*(2026-$B$34)))))</f>
        <v>2.86723120770176</v>
      </c>
      <c r="E11" s="76" t="n">
        <f aca="false">E10-J10+D11+J11</f>
        <v>18.9510957589178</v>
      </c>
      <c r="F11" s="76" t="n">
        <f aca="false">MAX($B$37,Inputs!$B$32*(1+$B$36)^B11)</f>
        <v>39.059468</v>
      </c>
      <c r="G11" s="24" t="n">
        <f aca="false">D11*F11</f>
        <v>111.992525605828</v>
      </c>
      <c r="H11" s="75" t="n">
        <f aca="false">Inputs!$B$34+($B$39-Inputs!$B$34)*((1/(1+EXP(-$B$41*($A11-$B$40))))-(1/(1+EXP(-$B$41*(2026-$B$40)))))/(1-(1/(1+EXP(-$B$41*(2026-$B$40)))))</f>
        <v>5.01854256668495</v>
      </c>
      <c r="I11" s="24" t="n">
        <f aca="false">H11*$B$42*12/1000</f>
        <v>6.02225108002194</v>
      </c>
      <c r="J11" s="77" t="n">
        <f aca="false">Inputs!$B$35+($B$44-Inputs!$B$35)*((1/(1+EXP(-$B$46*($A11-$B$45))))-(1/(1+EXP(-$B$46*(2026-$B$45)))))/(1-(1/(1+EXP(-$B$46*(2026-$B$45)))))</f>
        <v>0.944793050768232</v>
      </c>
      <c r="K11" s="77" t="n">
        <f aca="false">(J11+J10)/2</f>
        <v>0.713197502162146</v>
      </c>
      <c r="L11" s="75" t="n">
        <f aca="false">MAX($B$48,Inputs!$B$36*(1-Inputs!$B$37)^B11)</f>
        <v>1.2860625</v>
      </c>
      <c r="M11" s="24" t="n">
        <f aca="false">K11*$B$47*L11</f>
        <v>55.0329937574643</v>
      </c>
      <c r="N11" s="77" t="n">
        <f aca="false">Inputs!$B$39+($B$50-Inputs!$B$39)*((1/(1+EXP(-$B$52*($A11-$B$51))))-(1/(1+EXP(-$B$52*(2026-$B$51)))))/(1-(1/(1+EXP(-$B$52*(2026-$B$51)))))</f>
        <v>0.278147597173934</v>
      </c>
      <c r="O11" s="75" t="n">
        <f aca="false">O10+N11</f>
        <v>0.481378872716085</v>
      </c>
      <c r="P11" s="76" t="n">
        <f aca="false">MAX($B$53,Inputs!$B$40*(1-Inputs!$B$41)^B11)</f>
        <v>38.9344</v>
      </c>
      <c r="Q11" s="24" t="n">
        <f aca="false">N11*P11</f>
        <v>10.8295098074088</v>
      </c>
      <c r="R11" s="22" t="n">
        <f aca="false">Inputs!$B$43+($B$55-Inputs!$B$43)*((1/(1+EXP(-$B$57*($A11-$B$56))))-(1/(1+EXP(-$B$57*(2026-$B$56)))))/(1-(1/(1+EXP(-$B$57*(2026-$B$56)))))</f>
        <v>154.691762018993</v>
      </c>
      <c r="S11" s="73" t="n">
        <f aca="false">MAX($B$58,Inputs!$B$44*(1-Inputs!$B$45)^B11)</f>
        <v>216.76032</v>
      </c>
      <c r="T11" s="24" t="n">
        <f aca="false">R11*S11/1000</f>
        <v>33.5310358366007</v>
      </c>
      <c r="U11" s="24" t="n">
        <f aca="false">U10*(1+$B$60*Inputs!$B$48^(B11-1))</f>
        <v>25.9075772790625</v>
      </c>
      <c r="V11" s="78" t="n">
        <f aca="false">G11+I11+M11+Q11+T11+U11</f>
        <v>243.315893366387</v>
      </c>
      <c r="W11" s="24" t="n">
        <f aca="false">G11*(Inputs!$B$33+($B$38-Inputs!$B$33)*C11)+I11*$B$43+M11*(Inputs!$B$38+($B$49-Inputs!$B$38)*C11)+Q11*(Inputs!$B$42+($B$54-Inputs!$B$42)*C11)+T11*(Inputs!$B$46+($B$59-Inputs!$B$46)*C11)+U11*$B$61-V11*Inputs!$B$49</f>
        <v>46.9453260534217</v>
      </c>
      <c r="X11" s="24" t="n">
        <f aca="false">(W11-V11*(Inputs!$B$50+Inputs!$B$51))*(1-Inputs!$B$52)</f>
        <v>17.8648520062586</v>
      </c>
      <c r="Y11" s="76" t="n">
        <f aca="false">$B$62+($B$63-$B$62)*MIN(1,MAX(0,(A11-2027)/(Inputs!$B$26-2027)))</f>
        <v>36.3636363636364</v>
      </c>
      <c r="Z11" s="77" t="n">
        <f aca="false">Inputs!$B$11*(1+$B$64)^B11</f>
        <v>4.00908731465797</v>
      </c>
      <c r="AA11" s="22" t="n">
        <f aca="false">MIN(1,B11/Inputs!$B$25)*(W12*Y11+Inputs!$B$28)+(1-MIN(1,B11/Inputs!$B$25))*Inputs!$B$9*Inputs!$B$11</f>
        <v>2948.28472155385</v>
      </c>
      <c r="AB11" s="79" t="n">
        <f aca="false">AA11/Z11</f>
        <v>735.400476506054</v>
      </c>
      <c r="AC11" s="22" t="n">
        <f aca="false">Inputs!$B$53+($B$65-Inputs!$B$53)*((1/(1+EXP(-$B$67*($A11-$B$66))))-(1/(1+EXP(-$B$67*(2026-$B$66)))))/(1-(1/(1+EXP(-$B$67*(2026-$B$66)))))</f>
        <v>673.231690914356</v>
      </c>
      <c r="AD11" s="22" t="n">
        <f aca="false">AC11*(Inputs!$B$54+($B$68-Inputs!$B$54)*C11)</f>
        <v>269.292676365742</v>
      </c>
      <c r="AE11" s="75" t="n">
        <f aca="false">Inputs!$B$13*(1+$B$69)^B11</f>
        <v>14.18985554875</v>
      </c>
      <c r="AF11" s="22" t="n">
        <f aca="false">MIN(1,B11/Inputs!$B$25)*(AD12*Y11)+(1-MIN(1,B11/Inputs!$B$25))*Inputs!$B$12*Inputs!$B$13</f>
        <v>15419.1172520345</v>
      </c>
      <c r="AG11" s="19" t="n">
        <f aca="false">AF11/AE11</f>
        <v>1086.62961360398</v>
      </c>
      <c r="AH11" s="73" t="n">
        <f aca="false">IF(AND(Inputs!$B$19="Yes",A11&gt;=$B$5),1,0)</f>
        <v>1</v>
      </c>
      <c r="AI11" s="22" t="n">
        <f aca="false">(AA11+AF11)*(1+IF(AH11=1,$B$70*MIN(1,(A11-$B$5+1)/3),0))</f>
        <v>20204.1421709472</v>
      </c>
      <c r="AJ11" s="75" t="n">
        <f aca="false">AE11+Z11*$B$4</f>
        <v>23.5527984583641</v>
      </c>
      <c r="AK11" s="58" t="n">
        <f aca="false">IF(AH11=1,Z11*$B$4/AJ11,1)</f>
        <v>0.397529954929374</v>
      </c>
      <c r="AL11" s="79" t="n">
        <f aca="false">IF(AH11=1,$B$4*AI11/AJ11,AB11)</f>
        <v>2003.38658059098</v>
      </c>
      <c r="AM11" s="19" t="n">
        <f aca="false">AL11*Holdings!$D$15</f>
        <v>738207.887216163</v>
      </c>
      <c r="AN11" s="80" t="n">
        <f aca="false">AM11/Inputs!$B$14</f>
        <v>558022.44101305</v>
      </c>
      <c r="AO11" s="21" t="n">
        <f aca="false">AN11/(1+Inputs!$B$17)^B11</f>
        <v>518179.310004718</v>
      </c>
      <c r="AP11" s="20" t="n">
        <f aca="false">AL11/Inputs!$B$9</f>
        <v>5.34236421490927</v>
      </c>
    </row>
    <row r="12" customFormat="false" ht="15" hidden="false" customHeight="false" outlineLevel="0" collapsed="false">
      <c r="A12" s="73" t="n">
        <v>2030</v>
      </c>
      <c r="B12" s="73" t="n">
        <f aca="false">A12-2026</f>
        <v>4</v>
      </c>
      <c r="C12" s="74" t="n">
        <f aca="false">MIN(1,B12/Inputs!$B$27)</f>
        <v>0.666666666666667</v>
      </c>
      <c r="D12" s="75" t="n">
        <f aca="false">Inputs!$B$30+($B$33-Inputs!$B$30)*((1/(1+EXP(-$B$35*($A12-$B$34))))-(1/(1+EXP(-$B$35*(2026-$B$34)))))/(1-(1/(1+EXP(-$B$35*(2026-$B$34)))))</f>
        <v>3.54052869911405</v>
      </c>
      <c r="E12" s="76" t="n">
        <f aca="false">E11-J11+D12+J12</f>
        <v>23.197754239064</v>
      </c>
      <c r="F12" s="76" t="n">
        <f aca="false">MAX($B$37,Inputs!$B$32*(1+$B$36)^B12)</f>
        <v>38.27827864</v>
      </c>
      <c r="G12" s="24" t="n">
        <f aca="false">D12*F12</f>
        <v>135.525344077604</v>
      </c>
      <c r="H12" s="75" t="n">
        <f aca="false">Inputs!$B$34+($B$39-Inputs!$B$34)*((1/(1+EXP(-$B$41*($A12-$B$40))))-(1/(1+EXP(-$B$41*(2026-$B$40)))))/(1-(1/(1+EXP(-$B$41*(2026-$B$40)))))</f>
        <v>7.33071689244243</v>
      </c>
      <c r="I12" s="24" t="n">
        <f aca="false">H12*$B$42*12/1000</f>
        <v>8.79686027093091</v>
      </c>
      <c r="J12" s="77" t="n">
        <f aca="false">Inputs!$B$35+($B$44-Inputs!$B$35)*((1/(1+EXP(-$B$46*($A12-$B$45))))-(1/(1+EXP(-$B$46*(2026-$B$45)))))/(1-(1/(1+EXP(-$B$46*(2026-$B$45)))))</f>
        <v>1.65092283180034</v>
      </c>
      <c r="K12" s="77" t="n">
        <f aca="false">(J12+J11)/2</f>
        <v>1.29785794128429</v>
      </c>
      <c r="L12" s="75" t="n">
        <f aca="false">MAX($B$48,Inputs!$B$36*(1-Inputs!$B$37)^B12)</f>
        <v>1.221759375</v>
      </c>
      <c r="M12" s="24" t="n">
        <f aca="false">K12*$B$47*L12</f>
        <v>95.1402064309366</v>
      </c>
      <c r="N12" s="77" t="n">
        <f aca="false">Inputs!$B$39+($B$50-Inputs!$B$39)*((1/(1+EXP(-$B$52*($A12-$B$51))))-(1/(1+EXP(-$B$52*(2026-$B$51)))))/(1-(1/(1+EXP(-$B$52*(2026-$B$51)))))</f>
        <v>0.496884712984054</v>
      </c>
      <c r="O12" s="75" t="n">
        <f aca="false">O11+N12</f>
        <v>0.978263585700139</v>
      </c>
      <c r="P12" s="76" t="n">
        <f aca="false">MAX($B$53,Inputs!$B$40*(1-Inputs!$B$41)^B12)</f>
        <v>35.819648</v>
      </c>
      <c r="Q12" s="24" t="n">
        <f aca="false">N12*P12</f>
        <v>17.7982355156698</v>
      </c>
      <c r="R12" s="22" t="n">
        <f aca="false">Inputs!$B$43+($B$55-Inputs!$B$43)*((1/(1+EXP(-$B$57*($A12-$B$56))))-(1/(1+EXP(-$B$57*(2026-$B$56)))))/(1-(1/(1+EXP(-$B$57*(2026-$B$56)))))</f>
        <v>213.508773874715</v>
      </c>
      <c r="S12" s="73" t="n">
        <f aca="false">MAX($B$58,Inputs!$B$44*(1-Inputs!$B$45)^B12)</f>
        <v>208.0899072</v>
      </c>
      <c r="T12" s="24" t="n">
        <f aca="false">R12*S12/1000</f>
        <v>44.4290209419752</v>
      </c>
      <c r="U12" s="24" t="n">
        <f aca="false">U11*(1+$B$60*Inputs!$B$48^(B12-1))</f>
        <v>29.0334184496807</v>
      </c>
      <c r="V12" s="78" t="n">
        <f aca="false">G12+I12+M12+Q12+T12+U12</f>
        <v>330.723085686797</v>
      </c>
      <c r="W12" s="24" t="n">
        <f aca="false">G12*(Inputs!$B$33+($B$38-Inputs!$B$33)*C12)+I12*$B$43+M12*(Inputs!$B$38+($B$49-Inputs!$B$38)*C12)+Q12*(Inputs!$B$42+($B$54-Inputs!$B$42)*C12)+T12*(Inputs!$B$46+($B$59-Inputs!$B$46)*C12)+U12*$B$61-V12*Inputs!$B$49</f>
        <v>80.0410798427309</v>
      </c>
      <c r="X12" s="24" t="n">
        <f aca="false">(W12-V12*(Inputs!$B$50+Inputs!$B$51))*(1-Inputs!$B$52)</f>
        <v>37.1053293065004</v>
      </c>
      <c r="Y12" s="76" t="n">
        <f aca="false">$B$62+($B$63-$B$62)*MIN(1,MAX(0,(A12-2027)/(Inputs!$B$26-2027)))</f>
        <v>34.5454545454546</v>
      </c>
      <c r="Z12" s="77" t="n">
        <f aca="false">Inputs!$B$11*(1+$B$64)^B12</f>
        <v>4.02913275123126</v>
      </c>
      <c r="AA12" s="22" t="n">
        <f aca="false">MIN(1,B12/Inputs!$B$25)*(W13*Y12+Inputs!$B$28)+(1-MIN(1,B12/Inputs!$B$25))*Inputs!$B$9*Inputs!$B$11</f>
        <v>4644.74453417034</v>
      </c>
      <c r="AB12" s="79" t="n">
        <f aca="false">AA12/Z12</f>
        <v>1152.79014640333</v>
      </c>
      <c r="AC12" s="22" t="n">
        <f aca="false">Inputs!$B$53+($B$65-Inputs!$B$53)*((1/(1+EXP(-$B$67*($A12-$B$66))))-(1/(1+EXP(-$B$67*(2026-$B$66)))))/(1-(1/(1+EXP(-$B$67*(2026-$B$66)))))</f>
        <v>1017.66173863428</v>
      </c>
      <c r="AD12" s="22" t="n">
        <f aca="false">AC12*(Inputs!$B$54+($B$68-Inputs!$B$54)*C12)</f>
        <v>424.025724430949</v>
      </c>
      <c r="AE12" s="75" t="n">
        <f aca="false">Inputs!$B$13*(1+$B$69)^B12</f>
        <v>14.4027033819812</v>
      </c>
      <c r="AF12" s="22" t="n">
        <f aca="false">MIN(1,B12/Inputs!$B$25)*(AD13*Y12)+(1-MIN(1,B12/Inputs!$B$25))*Inputs!$B$12*Inputs!$B$13</f>
        <v>20390.1012866356</v>
      </c>
      <c r="AG12" s="19" t="n">
        <f aca="false">AF12/AE12</f>
        <v>1415.71347724518</v>
      </c>
      <c r="AH12" s="73" t="n">
        <f aca="false">IF(AND(Inputs!$B$19="Yes",A12&gt;=$B$5),1,0)</f>
        <v>1</v>
      </c>
      <c r="AI12" s="22" t="n">
        <f aca="false">(AA12+AF12)*(1+IF(AH12=1,$B$70*MIN(1,(A12-$B$5+1)/3),0))</f>
        <v>27538.3304028865</v>
      </c>
      <c r="AJ12" s="75" t="n">
        <f aca="false">AE12+Z12*$B$4</f>
        <v>23.8124610061434</v>
      </c>
      <c r="AK12" s="58" t="n">
        <f aca="false">IF(AH12=1,Z12*$B$4/AJ12,1)</f>
        <v>0.395161072252656</v>
      </c>
      <c r="AL12" s="79" t="n">
        <f aca="false">IF(AH12=1,$B$4*AI12/AJ12,AB12)</f>
        <v>2700.84825741398</v>
      </c>
      <c r="AM12" s="19" t="n">
        <f aca="false">AL12*Holdings!$D$15</f>
        <v>995208.565891902</v>
      </c>
      <c r="AN12" s="80" t="n">
        <f aca="false">AM12/Inputs!$B$14</f>
        <v>752293.118067807</v>
      </c>
      <c r="AO12" s="21" t="n">
        <f aca="false">AN12/(1+Inputs!$B$17)^B12</f>
        <v>681540.435391948</v>
      </c>
      <c r="AP12" s="20" t="n">
        <f aca="false">AL12/Inputs!$B$9</f>
        <v>7.2022620197706</v>
      </c>
    </row>
    <row r="13" customFormat="false" ht="15" hidden="false" customHeight="false" outlineLevel="0" collapsed="false">
      <c r="A13" s="73" t="n">
        <v>2031</v>
      </c>
      <c r="B13" s="73" t="n">
        <f aca="false">A13-2026</f>
        <v>5</v>
      </c>
      <c r="C13" s="74" t="n">
        <f aca="false">MIN(1,B13/Inputs!$B$27)</f>
        <v>0.833333333333333</v>
      </c>
      <c r="D13" s="75" t="n">
        <f aca="false">Inputs!$B$30+($B$33-Inputs!$B$30)*((1/(1+EXP(-$B$35*($A13-$B$34))))-(1/(1+EXP(-$B$35*(2026-$B$34)))))/(1-(1/(1+EXP(-$B$35*(2026-$B$34)))))</f>
        <v>4.4520570352469</v>
      </c>
      <c r="E13" s="76" t="n">
        <f aca="false">E12-J12+D13+J13</f>
        <v>28.6797715392326</v>
      </c>
      <c r="F13" s="76" t="n">
        <f aca="false">MAX($B$37,Inputs!$B$32*(1+$B$36)^B13)</f>
        <v>37.5127130672</v>
      </c>
      <c r="G13" s="24" t="n">
        <f aca="false">D13*F13</f>
        <v>167.008738122026</v>
      </c>
      <c r="H13" s="75" t="n">
        <f aca="false">Inputs!$B$34+($B$39-Inputs!$B$34)*((1/(1+EXP(-$B$41*($A13-$B$40))))-(1/(1+EXP(-$B$41*(2026-$B$40)))))/(1-(1/(1+EXP(-$B$41*(2026-$B$40)))))</f>
        <v>10.5139148418387</v>
      </c>
      <c r="I13" s="24" t="n">
        <f aca="false">H13*$B$42*12/1000</f>
        <v>12.6166978102064</v>
      </c>
      <c r="J13" s="77" t="n">
        <f aca="false">Inputs!$B$35+($B$44-Inputs!$B$35)*((1/(1+EXP(-$B$46*($A13-$B$45))))-(1/(1+EXP(-$B$46*(2026-$B$45)))))/(1-(1/(1+EXP(-$B$46*(2026-$B$45)))))</f>
        <v>2.68088309672209</v>
      </c>
      <c r="K13" s="77" t="n">
        <f aca="false">(J13+J12)/2</f>
        <v>2.16590296426122</v>
      </c>
      <c r="L13" s="75" t="n">
        <f aca="false">MAX($B$48,Inputs!$B$36*(1-Inputs!$B$37)^B13)</f>
        <v>1.16067140625</v>
      </c>
      <c r="M13" s="24" t="n">
        <f aca="false">K13*$B$47*L13</f>
        <v>150.834098359807</v>
      </c>
      <c r="N13" s="77" t="n">
        <f aca="false">Inputs!$B$39+($B$50-Inputs!$B$39)*((1/(1+EXP(-$B$52*($A13-$B$51))))-(1/(1+EXP(-$B$52*(2026-$B$51)))))/(1-(1/(1+EXP(-$B$52*(2026-$B$51)))))</f>
        <v>0.840228180215967</v>
      </c>
      <c r="O13" s="75" t="n">
        <f aca="false">O12+N13</f>
        <v>1.81849176591611</v>
      </c>
      <c r="P13" s="76" t="n">
        <f aca="false">MAX($B$53,Inputs!$B$40*(1-Inputs!$B$41)^B13)</f>
        <v>32.95407616</v>
      </c>
      <c r="Q13" s="24" t="n">
        <f aca="false">N13*P13</f>
        <v>27.6889434426152</v>
      </c>
      <c r="R13" s="22" t="n">
        <f aca="false">Inputs!$B$43+($B$55-Inputs!$B$43)*((1/(1+EXP(-$B$57*($A13-$B$56))))-(1/(1+EXP(-$B$57*(2026-$B$56)))))/(1-(1/(1+EXP(-$B$57*(2026-$B$56)))))</f>
        <v>288.662315582048</v>
      </c>
      <c r="S13" s="73" t="n">
        <f aca="false">MAX($B$58,Inputs!$B$44*(1-Inputs!$B$45)^B13)</f>
        <v>199.766310912</v>
      </c>
      <c r="T13" s="24" t="n">
        <f aca="false">R13*S13/1000</f>
        <v>57.6650058831413</v>
      </c>
      <c r="U13" s="24" t="n">
        <f aca="false">U12*(1+$B$60*Inputs!$B$48^(B13-1))</f>
        <v>32.2911945039489</v>
      </c>
      <c r="V13" s="78" t="n">
        <f aca="false">G13+I13+M13+Q13+T13+U13</f>
        <v>448.104678121744</v>
      </c>
      <c r="W13" s="24" t="n">
        <f aca="false">G13*(Inputs!$B$33+($B$38-Inputs!$B$33)*C13)+I13*$B$43+M13*(Inputs!$B$38+($B$49-Inputs!$B$38)*C13)+Q13*(Inputs!$B$42+($B$54-Inputs!$B$42)*C13)+T13*(Inputs!$B$46+($B$59-Inputs!$B$46)*C13)+U13*$B$61-V13*Inputs!$B$49</f>
        <v>133.361815462826</v>
      </c>
      <c r="X13" s="24" t="n">
        <f aca="false">(W13-V13*(Inputs!$B$50+Inputs!$B$51))*(1-Inputs!$B$52)</f>
        <v>69.9555646440143</v>
      </c>
      <c r="Y13" s="76" t="n">
        <f aca="false">$B$62+($B$63-$B$62)*MIN(1,MAX(0,(A13-2027)/(Inputs!$B$26-2027)))</f>
        <v>32.7272727272727</v>
      </c>
      <c r="Z13" s="77" t="n">
        <f aca="false">Inputs!$B$11*(1+$B$64)^B13</f>
        <v>4.04927841498742</v>
      </c>
      <c r="AA13" s="22" t="n">
        <f aca="false">MIN(1,B13/Inputs!$B$25)*(W14*Y13+Inputs!$B$28)+(1-MIN(1,B13/Inputs!$B$25))*Inputs!$B$9*Inputs!$B$11</f>
        <v>7039.98086447294</v>
      </c>
      <c r="AB13" s="79" t="n">
        <f aca="false">AA13/Z13</f>
        <v>1738.5766408198</v>
      </c>
      <c r="AC13" s="22" t="n">
        <f aca="false">Inputs!$B$53+($B$65-Inputs!$B$53)*((1/(1+EXP(-$B$67*($A13-$B$66))))-(1/(1+EXP(-$B$67*(2026-$B$66)))))/(1-(1/(1+EXP(-$B$67*(2026-$B$66)))))</f>
        <v>1362.0917863542</v>
      </c>
      <c r="AD13" s="22" t="n">
        <f aca="false">AC13*(Inputs!$B$54+($B$68-Inputs!$B$54)*C13)</f>
        <v>590.239774086819</v>
      </c>
      <c r="AE13" s="75" t="n">
        <f aca="false">Inputs!$B$13*(1+$B$69)^B13</f>
        <v>14.618743932711</v>
      </c>
      <c r="AF13" s="22" t="n">
        <f aca="false">MIN(1,B13/Inputs!$B$25)*(AD14*Y13)+(1-MIN(1,B13/Inputs!$B$25))*Inputs!$B$12*Inputs!$B$13</f>
        <v>24338.8209428403</v>
      </c>
      <c r="AG13" s="19" t="n">
        <f aca="false">AF13/AE13</f>
        <v>1664.90507357336</v>
      </c>
      <c r="AH13" s="73" t="n">
        <f aca="false">IF(AND(Inputs!$B$19="Yes",A13&gt;=$B$5),1,0)</f>
        <v>1</v>
      </c>
      <c r="AI13" s="22" t="n">
        <f aca="false">(AA13+AF13)*(1+IF(AH13=1,$B$70*MIN(1,(A13-$B$5+1)/3),0))</f>
        <v>34516.6819880446</v>
      </c>
      <c r="AJ13" s="75" t="n">
        <f aca="false">AE13+Z13*$B$4</f>
        <v>24.075550344994</v>
      </c>
      <c r="AK13" s="58" t="n">
        <f aca="false">IF(AH13=1,Z13*$B$4/AJ13,1)</f>
        <v>0.392797102320419</v>
      </c>
      <c r="AL13" s="79" t="n">
        <f aca="false">IF(AH13=1,$B$4*AI13/AJ13,AB13)</f>
        <v>3348.26388238396</v>
      </c>
      <c r="AM13" s="19" t="n">
        <f aca="false">AL13*Holdings!$D$15</f>
        <v>1233768.27538084</v>
      </c>
      <c r="AN13" s="80" t="n">
        <f aca="false">AM13/Inputs!$B$14</f>
        <v>932623.989251524</v>
      </c>
      <c r="AO13" s="21" t="n">
        <f aca="false">AN13/(1+Inputs!$B$17)^B13</f>
        <v>824303.711627452</v>
      </c>
      <c r="AP13" s="20" t="n">
        <f aca="false">AL13/Inputs!$B$9</f>
        <v>8.92870368635722</v>
      </c>
    </row>
    <row r="14" customFormat="false" ht="15" hidden="false" customHeight="false" outlineLevel="0" collapsed="false">
      <c r="A14" s="73" t="n">
        <v>2032</v>
      </c>
      <c r="B14" s="73" t="n">
        <f aca="false">A14-2026</f>
        <v>6</v>
      </c>
      <c r="C14" s="74" t="n">
        <f aca="false">MIN(1,B14/Inputs!$B$27)</f>
        <v>1</v>
      </c>
      <c r="D14" s="75" t="n">
        <f aca="false">Inputs!$B$30+($B$33-Inputs!$B$30)*((1/(1+EXP(-$B$35*($A14-$B$34))))-(1/(1+EXP(-$B$35*(2026-$B$34)))))/(1-(1/(1+EXP(-$B$35*(2026-$B$34)))))</f>
        <v>5.63856314434854</v>
      </c>
      <c r="E14" s="76" t="n">
        <f aca="false">E13-J13+D14+J14</f>
        <v>35.7277663466229</v>
      </c>
      <c r="F14" s="76" t="n">
        <f aca="false">MAX($B$37,Inputs!$B$32*(1+$B$36)^B14)</f>
        <v>36.762458805856</v>
      </c>
      <c r="G14" s="24" t="n">
        <f aca="false">D14*F14</f>
        <v>207.287445318331</v>
      </c>
      <c r="H14" s="75" t="n">
        <f aca="false">Inputs!$B$34+($B$39-Inputs!$B$34)*((1/(1+EXP(-$B$41*($A14-$B$40))))-(1/(1+EXP(-$B$41*(2026-$B$40)))))/(1-(1/(1+EXP(-$B$41*(2026-$B$40)))))</f>
        <v>14.6498359877755</v>
      </c>
      <c r="I14" s="24" t="n">
        <f aca="false">H14*$B$42*12/1000</f>
        <v>17.5798031853306</v>
      </c>
      <c r="J14" s="77" t="n">
        <f aca="false">Inputs!$B$35+($B$44-Inputs!$B$35)*((1/(1+EXP(-$B$46*($A14-$B$45))))-(1/(1+EXP(-$B$46*(2026-$B$45)))))/(1-(1/(1+EXP(-$B$46*(2026-$B$45)))))</f>
        <v>4.09031475976387</v>
      </c>
      <c r="K14" s="77" t="n">
        <f aca="false">(J14+J13)/2</f>
        <v>3.38559892824298</v>
      </c>
      <c r="L14" s="75" t="n">
        <f aca="false">MAX($B$48,Inputs!$B$36*(1-Inputs!$B$37)^B14)</f>
        <v>1.1026378359375</v>
      </c>
      <c r="M14" s="24" t="n">
        <f aca="false">K14*$B$47*L14</f>
        <v>223.98536853541</v>
      </c>
      <c r="N14" s="77" t="n">
        <f aca="false">Inputs!$B$39+($B$50-Inputs!$B$39)*((1/(1+EXP(-$B$52*($A14-$B$51))))-(1/(1+EXP(-$B$52*(2026-$B$51)))))/(1-(1/(1+EXP(-$B$52*(2026-$B$51)))))</f>
        <v>1.36365155513507</v>
      </c>
      <c r="O14" s="75" t="n">
        <f aca="false">O13+N14</f>
        <v>3.18214332105118</v>
      </c>
      <c r="P14" s="76" t="n">
        <f aca="false">MAX($B$53,Inputs!$B$40*(1-Inputs!$B$41)^B14)</f>
        <v>30.3177500672</v>
      </c>
      <c r="Q14" s="24" t="n">
        <f aca="false">N14*P14</f>
        <v>41.3428470273337</v>
      </c>
      <c r="R14" s="22" t="n">
        <f aca="false">Inputs!$B$43+($B$55-Inputs!$B$43)*((1/(1+EXP(-$B$57*($A14-$B$56))))-(1/(1+EXP(-$B$57*(2026-$B$56)))))/(1-(1/(1+EXP(-$B$57*(2026-$B$56)))))</f>
        <v>381.392952602635</v>
      </c>
      <c r="S14" s="73" t="n">
        <f aca="false">MAX($B$58,Inputs!$B$44*(1-Inputs!$B$45)^B14)</f>
        <v>191.77565847552</v>
      </c>
      <c r="T14" s="24" t="n">
        <f aca="false">R14*S14/1000</f>
        <v>73.1418846232931</v>
      </c>
      <c r="U14" s="24" t="n">
        <f aca="false">U13*(1+$B$60*Inputs!$B$48^(B14-1))</f>
        <v>35.6608857710292</v>
      </c>
      <c r="V14" s="78" t="n">
        <f aca="false">G14+I14+M14+Q14+T14+U14</f>
        <v>598.998234460727</v>
      </c>
      <c r="W14" s="24" t="n">
        <f aca="false">G14*(Inputs!$B$33+($B$38-Inputs!$B$33)*C14)+I14*$B$43+M14*(Inputs!$B$38+($B$49-Inputs!$B$38)*C14)+Q14*(Inputs!$B$42+($B$54-Inputs!$B$42)*C14)+T14*(Inputs!$B$46+($B$59-Inputs!$B$46)*C14)+U14*$B$61-V14*Inputs!$B$49</f>
        <v>213.958581970006</v>
      </c>
      <c r="X14" s="24" t="n">
        <f aca="false">(W14-V14*(Inputs!$B$50+Inputs!$B$51))*(1-Inputs!$B$52)</f>
        <v>121.706419233908</v>
      </c>
      <c r="Y14" s="76" t="n">
        <f aca="false">$B$62+($B$63-$B$62)*MIN(1,MAX(0,(A14-2027)/(Inputs!$B$26-2027)))</f>
        <v>30.9090909090909</v>
      </c>
      <c r="Z14" s="77" t="n">
        <f aca="false">Inputs!$B$11*(1+$B$64)^B14</f>
        <v>4.06952480706236</v>
      </c>
      <c r="AA14" s="22" t="n">
        <f aca="false">MIN(1,B14/Inputs!$B$25)*(W15*Y14+Inputs!$B$28)+(1-MIN(1,B14/Inputs!$B$25))*Inputs!$B$9*Inputs!$B$11</f>
        <v>8974.09114633752</v>
      </c>
      <c r="AB14" s="79" t="n">
        <f aca="false">AA14/Z14</f>
        <v>2205.19386704896</v>
      </c>
      <c r="AC14" s="22" t="n">
        <f aca="false">Inputs!$B$53+($B$65-Inputs!$B$53)*((1/(1+EXP(-$B$67*($A14-$B$66))))-(1/(1+EXP(-$B$67*(2026-$B$66)))))/(1-(1/(1+EXP(-$B$67*(2026-$B$66)))))</f>
        <v>1652.63598994595</v>
      </c>
      <c r="AD14" s="22" t="n">
        <f aca="false">AC14*(Inputs!$B$54+($B$68-Inputs!$B$54)*C14)</f>
        <v>743.686195475677</v>
      </c>
      <c r="AE14" s="75" t="n">
        <f aca="false">Inputs!$B$13*(1+$B$69)^B14</f>
        <v>14.8380250917016</v>
      </c>
      <c r="AF14" s="22" t="n">
        <f aca="false">MIN(1,B14/Inputs!$B$25)*(AD15*Y14)+(1-MIN(1,B14/Inputs!$B$25))*Inputs!$B$12*Inputs!$B$13</f>
        <v>25934.4474470109</v>
      </c>
      <c r="AG14" s="19" t="n">
        <f aca="false">AF14/AE14</f>
        <v>1747.8368776661</v>
      </c>
      <c r="AH14" s="73" t="n">
        <f aca="false">IF(AND(Inputs!$B$19="Yes",A14&gt;=$B$5),1,0)</f>
        <v>1</v>
      </c>
      <c r="AI14" s="22" t="n">
        <f aca="false">(AA14+AF14)*(1+IF(AH14=1,$B$70*MIN(1,(A14-$B$5+1)/3),0))</f>
        <v>38399.3924526833</v>
      </c>
      <c r="AJ14" s="75" t="n">
        <f aca="false">AE14+Z14*$B$4</f>
        <v>24.342115536046</v>
      </c>
      <c r="AK14" s="58" t="n">
        <f aca="false">IF(AH14=1,Z14*$B$4/AJ14,1)</f>
        <v>0.390438145372807</v>
      </c>
      <c r="AL14" s="79" t="n">
        <f aca="false">IF(AH14=1,$B$4*AI14/AJ14,AB14)</f>
        <v>3684.1125889317</v>
      </c>
      <c r="AM14" s="19" t="n">
        <f aca="false">AL14*Holdings!$D$15</f>
        <v>1357521.80676955</v>
      </c>
      <c r="AN14" s="80" t="n">
        <f aca="false">AM14/Inputs!$B$14</f>
        <v>1026171.14428116</v>
      </c>
      <c r="AO14" s="21" t="n">
        <f aca="false">AN14/(1+Inputs!$B$17)^B14</f>
        <v>884864.161652752</v>
      </c>
      <c r="AP14" s="20" t="n">
        <f aca="false">AL14/Inputs!$B$9</f>
        <v>9.82430023715119</v>
      </c>
    </row>
    <row r="15" customFormat="false" ht="15" hidden="false" customHeight="false" outlineLevel="0" collapsed="false">
      <c r="A15" s="73" t="n">
        <v>2033</v>
      </c>
      <c r="B15" s="73" t="n">
        <f aca="false">A15-2026</f>
        <v>7</v>
      </c>
      <c r="C15" s="74" t="n">
        <f aca="false">MIN(1,B15/Inputs!$B$27)</f>
        <v>1</v>
      </c>
      <c r="D15" s="75" t="n">
        <f aca="false">Inputs!$B$30+($B$33-Inputs!$B$30)*((1/(1+EXP(-$B$35*($A15-$B$34))))-(1/(1+EXP(-$B$35*(2026-$B$34)))))/(1-(1/(1+EXP(-$B$35*(2026-$B$34)))))</f>
        <v>7.10643409883248</v>
      </c>
      <c r="E15" s="76" t="n">
        <f aca="false">E14-J14+D15+J15</f>
        <v>44.6033922612735</v>
      </c>
      <c r="F15" s="76" t="n">
        <f aca="false">MAX($B$37,Inputs!$B$32*(1+$B$36)^B15)</f>
        <v>36.0272096297389</v>
      </c>
      <c r="G15" s="24" t="n">
        <f aca="false">D15*F15</f>
        <v>256.024990998562</v>
      </c>
      <c r="H15" s="75" t="n">
        <f aca="false">Inputs!$B$34+($B$39-Inputs!$B$34)*((1/(1+EXP(-$B$41*($A15-$B$40))))-(1/(1+EXP(-$B$41*(2026-$B$40)))))/(1-(1/(1+EXP(-$B$41*(2026-$B$40)))))</f>
        <v>19.637510128775</v>
      </c>
      <c r="I15" s="24" t="n">
        <f aca="false">H15*$B$42*12/1000</f>
        <v>23.56501215453</v>
      </c>
      <c r="J15" s="77" t="n">
        <f aca="false">Inputs!$B$35+($B$44-Inputs!$B$35)*((1/(1+EXP(-$B$46*($A15-$B$45))))-(1/(1+EXP(-$B$46*(2026-$B$45)))))/(1-(1/(1+EXP(-$B$46*(2026-$B$45)))))</f>
        <v>5.85950657558194</v>
      </c>
      <c r="K15" s="77" t="n">
        <f aca="false">(J15+J14)/2</f>
        <v>4.97491066767291</v>
      </c>
      <c r="L15" s="75" t="n">
        <f aca="false">MAX($B$48,Inputs!$B$36*(1-Inputs!$B$37)^B15)</f>
        <v>1.04750594414062</v>
      </c>
      <c r="M15" s="24" t="n">
        <f aca="false">K15*$B$47*L15</f>
        <v>312.674909757358</v>
      </c>
      <c r="N15" s="77" t="n">
        <f aca="false">Inputs!$B$39+($B$50-Inputs!$B$39)*((1/(1+EXP(-$B$52*($A15-$B$51))))-(1/(1+EXP(-$B$52*(2026-$B$51)))))/(1-(1/(1+EXP(-$B$52*(2026-$B$51)))))</f>
        <v>2.12711642006391</v>
      </c>
      <c r="O15" s="75" t="n">
        <f aca="false">O14+N15</f>
        <v>5.30925974111509</v>
      </c>
      <c r="P15" s="76" t="n">
        <f aca="false">MAX($B$53,Inputs!$B$40*(1-Inputs!$B$41)^B15)</f>
        <v>27.892330061824</v>
      </c>
      <c r="Q15" s="24" t="n">
        <f aca="false">N15*P15</f>
        <v>59.3302332683481</v>
      </c>
      <c r="R15" s="22" t="n">
        <f aca="false">Inputs!$B$43+($B$55-Inputs!$B$43)*((1/(1+EXP(-$B$57*($A15-$B$56))))-(1/(1+EXP(-$B$57*(2026-$B$56)))))/(1-(1/(1+EXP(-$B$57*(2026-$B$56)))))</f>
        <v>491.003135018128</v>
      </c>
      <c r="S15" s="73" t="n">
        <f aca="false">MAX($B$58,Inputs!$B$44*(1-Inputs!$B$45)^B15)</f>
        <v>184.104632136499</v>
      </c>
      <c r="T15" s="24" t="n">
        <f aca="false">R15*S15/1000</f>
        <v>90.3959515503804</v>
      </c>
      <c r="U15" s="24" t="n">
        <f aca="false">U14*(1+$B$60*Inputs!$B$48^(B15-1))</f>
        <v>39.121722225072</v>
      </c>
      <c r="V15" s="78" t="n">
        <f aca="false">G15+I15+M15+Q15+T15+U15</f>
        <v>781.112819954251</v>
      </c>
      <c r="W15" s="24" t="n">
        <f aca="false">G15*(Inputs!$B$33+($B$38-Inputs!$B$33)*C15)+I15*$B$43+M15*(Inputs!$B$38+($B$49-Inputs!$B$38)*C15)+Q15*(Inputs!$B$42+($B$54-Inputs!$B$42)*C15)+T15*(Inputs!$B$46+($B$59-Inputs!$B$46)*C15)+U15*$B$61-V15*Inputs!$B$49</f>
        <v>289.11853708739</v>
      </c>
      <c r="X15" s="24" t="n">
        <f aca="false">(W15-V15*(Inputs!$B$50+Inputs!$B$51))*(1-Inputs!$B$52)</f>
        <v>166.695731522652</v>
      </c>
      <c r="Y15" s="76" t="n">
        <f aca="false">$B$62+($B$63-$B$62)*MIN(1,MAX(0,(A15-2027)/(Inputs!$B$26-2027)))</f>
        <v>29.0909090909091</v>
      </c>
      <c r="Z15" s="77" t="n">
        <f aca="false">Inputs!$B$11*(1+$B$64)^B15</f>
        <v>4.08987243109767</v>
      </c>
      <c r="AA15" s="22" t="n">
        <f aca="false">MIN(1,B15/Inputs!$B$25)*(W16*Y15+Inputs!$B$28)+(1-MIN(1,B15/Inputs!$B$25))*Inputs!$B$9*Inputs!$B$11</f>
        <v>10899.5348750899</v>
      </c>
      <c r="AB15" s="79" t="n">
        <f aca="false">AA15/Z15</f>
        <v>2665.00607505858</v>
      </c>
      <c r="AC15" s="22" t="n">
        <f aca="false">Inputs!$B$53+($B$65-Inputs!$B$53)*((1/(1+EXP(-$B$67*($A15-$B$66))))-(1/(1+EXP(-$B$67*(2026-$B$66)))))/(1-(1/(1+EXP(-$B$67*(2026-$B$66)))))</f>
        <v>1864.56811710536</v>
      </c>
      <c r="AD15" s="22" t="n">
        <f aca="false">AC15*(Inputs!$B$54+($B$68-Inputs!$B$54)*C15)</f>
        <v>839.055652697413</v>
      </c>
      <c r="AE15" s="75" t="n">
        <f aca="false">Inputs!$B$13*(1+$B$69)^B15</f>
        <v>15.0605954680772</v>
      </c>
      <c r="AF15" s="22" t="n">
        <f aca="false">MIN(1,B15/Inputs!$B$25)*(AD16*Y15)+(1-MIN(1,B15/Inputs!$B$25))*Inputs!$B$12*Inputs!$B$13</f>
        <v>26225.3255206065</v>
      </c>
      <c r="AG15" s="19" t="n">
        <f aca="false">AF15/AE15</f>
        <v>1741.3206254822</v>
      </c>
      <c r="AH15" s="73" t="n">
        <f aca="false">IF(AND(Inputs!$B$19="Yes",A15&gt;=$B$5),1,0)</f>
        <v>1</v>
      </c>
      <c r="AI15" s="22" t="n">
        <f aca="false">(AA15+AF15)*(1+IF(AH15=1,$B$70*MIN(1,(A15-$B$5+1)/3),0))</f>
        <v>40837.346435266</v>
      </c>
      <c r="AJ15" s="75" t="n">
        <f aca="false">AE15+Z15*$B$4</f>
        <v>24.6122063646433</v>
      </c>
      <c r="AK15" s="58" t="n">
        <f aca="false">IF(AH15=1,Z15*$B$4/AJ15,1)</f>
        <v>0.38808430073492</v>
      </c>
      <c r="AL15" s="79" t="n">
        <f aca="false">IF(AH15=1,$B$4*AI15/AJ15,AB15)</f>
        <v>3875.01891616371</v>
      </c>
      <c r="AM15" s="19" t="n">
        <f aca="false">AL15*Holdings!$D$15</f>
        <v>1427866.970228</v>
      </c>
      <c r="AN15" s="80" t="n">
        <f aca="false">AM15/Inputs!$B$14</f>
        <v>1079346.11098949</v>
      </c>
      <c r="AO15" s="21" t="n">
        <f aca="false">AN15/(1+Inputs!$B$17)^B15</f>
        <v>908016.359797951</v>
      </c>
      <c r="AP15" s="20" t="n">
        <f aca="false">AL15/Inputs!$B$9</f>
        <v>10.3333837764365</v>
      </c>
    </row>
    <row r="16" customFormat="false" ht="15" hidden="false" customHeight="false" outlineLevel="0" collapsed="false">
      <c r="A16" s="73" t="n">
        <v>2034</v>
      </c>
      <c r="B16" s="73" t="n">
        <f aca="false">A16-2026</f>
        <v>8</v>
      </c>
      <c r="C16" s="74" t="n">
        <f aca="false">MIN(1,B16/Inputs!$B$27)</f>
        <v>1</v>
      </c>
      <c r="D16" s="75" t="n">
        <f aca="false">Inputs!$B$30+($B$33-Inputs!$B$30)*((1/(1+EXP(-$B$35*($A16-$B$34))))-(1/(1+EXP(-$B$35*(2026-$B$34)))))/(1-(1/(1+EXP(-$B$35*(2026-$B$34)))))</f>
        <v>8.812312612982</v>
      </c>
      <c r="E16" s="76" t="n">
        <f aca="false">E15-J15+D16+J16</f>
        <v>55.4106915032026</v>
      </c>
      <c r="F16" s="76" t="n">
        <f aca="false">MAX($B$37,Inputs!$B$32*(1+$B$36)^B16)</f>
        <v>35.3066654371441</v>
      </c>
      <c r="G16" s="24" t="n">
        <f aca="false">D16*F16</f>
        <v>311.133373154081</v>
      </c>
      <c r="H16" s="75" t="n">
        <f aca="false">Inputs!$B$34+($B$39-Inputs!$B$34)*((1/(1+EXP(-$B$41*($A16-$B$40))))-(1/(1+EXP(-$B$41*(2026-$B$40)))))/(1-(1/(1+EXP(-$B$41*(2026-$B$40)))))</f>
        <v>25.1387659167755</v>
      </c>
      <c r="I16" s="24" t="n">
        <f aca="false">H16*$B$42*12/1000</f>
        <v>30.1665191001306</v>
      </c>
      <c r="J16" s="77" t="n">
        <f aca="false">Inputs!$B$35+($B$44-Inputs!$B$35)*((1/(1+EXP(-$B$46*($A16-$B$45))))-(1/(1+EXP(-$B$46*(2026-$B$45)))))/(1-(1/(1+EXP(-$B$46*(2026-$B$45)))))</f>
        <v>7.85449320452902</v>
      </c>
      <c r="K16" s="77" t="n">
        <f aca="false">(J16+J15)/2</f>
        <v>6.85699989005548</v>
      </c>
      <c r="L16" s="75" t="n">
        <f aca="false">MAX($B$48,Inputs!$B$36*(1-Inputs!$B$37)^B16)</f>
        <v>1</v>
      </c>
      <c r="M16" s="24" t="n">
        <f aca="false">K16*$B$47*L16</f>
        <v>411.419993403329</v>
      </c>
      <c r="N16" s="77" t="n">
        <f aca="false">Inputs!$B$39+($B$50-Inputs!$B$39)*((1/(1+EXP(-$B$52*($A16-$B$51))))-(1/(1+EXP(-$B$52*(2026-$B$51)))))/(1-(1/(1+EXP(-$B$52*(2026-$B$51)))))</f>
        <v>3.17186697103044</v>
      </c>
      <c r="O16" s="75" t="n">
        <f aca="false">O15+N16</f>
        <v>8.48112671214553</v>
      </c>
      <c r="P16" s="76" t="n">
        <f aca="false">MAX($B$53,Inputs!$B$40*(1-Inputs!$B$41)^B16)</f>
        <v>25.6609436568781</v>
      </c>
      <c r="Q16" s="24" t="n">
        <f aca="false">N16*P16</f>
        <v>81.3930996307248</v>
      </c>
      <c r="R16" s="22" t="n">
        <f aca="false">Inputs!$B$43+($B$55-Inputs!$B$43)*((1/(1+EXP(-$B$57*($A16-$B$56))))-(1/(1+EXP(-$B$57*(2026-$B$56)))))/(1-(1/(1+EXP(-$B$57*(2026-$B$56)))))</f>
        <v>614.178195523943</v>
      </c>
      <c r="S16" s="73" t="n">
        <f aca="false">MAX($B$58,Inputs!$B$44*(1-Inputs!$B$45)^B16)</f>
        <v>176.740446851039</v>
      </c>
      <c r="T16" s="24" t="n">
        <f aca="false">R16*S16/1000</f>
        <v>108.550128723067</v>
      </c>
      <c r="U16" s="24" t="n">
        <f aca="false">U15*(1+$B$60*Inputs!$B$48^(B16-1))</f>
        <v>42.6526583734459</v>
      </c>
      <c r="V16" s="78" t="n">
        <f aca="false">G16+I16+M16+Q16+T16+U16</f>
        <v>985.315772384777</v>
      </c>
      <c r="W16" s="24" t="n">
        <f aca="false">G16*(Inputs!$B$33+($B$38-Inputs!$B$33)*C16)+I16*$B$43+M16*(Inputs!$B$38+($B$49-Inputs!$B$38)*C16)+Q16*(Inputs!$B$42+($B$54-Inputs!$B$42)*C16)+T16*(Inputs!$B$46+($B$59-Inputs!$B$46)*C16)+U16*$B$61-V16*Inputs!$B$49</f>
        <v>373.375573831214</v>
      </c>
      <c r="X16" s="24" t="n">
        <f aca="false">(W16-V16*(Inputs!$B$50+Inputs!$B$51))*(1-Inputs!$B$52)</f>
        <v>217.126757308262</v>
      </c>
      <c r="Y16" s="76" t="n">
        <f aca="false">$B$62+($B$63-$B$62)*MIN(1,MAX(0,(A16-2027)/(Inputs!$B$26-2027)))</f>
        <v>27.2727272727273</v>
      </c>
      <c r="Z16" s="77" t="n">
        <f aca="false">Inputs!$B$11*(1+$B$64)^B16</f>
        <v>4.11032179325316</v>
      </c>
      <c r="AA16" s="22" t="n">
        <f aca="false">MIN(1,B16/Inputs!$B$25)*(W17*Y16+Inputs!$B$28)+(1-MIN(1,B16/Inputs!$B$25))*Inputs!$B$9*Inputs!$B$11</f>
        <v>12883.8562280273</v>
      </c>
      <c r="AB16" s="79" t="n">
        <f aca="false">AA16/Z16</f>
        <v>3134.51278904133</v>
      </c>
      <c r="AC16" s="22" t="n">
        <f aca="false">Inputs!$B$53+($B$65-Inputs!$B$53)*((1/(1+EXP(-$B$67*($A16-$B$66))))-(1/(1+EXP(-$B$67*(2026-$B$66)))))/(1-(1/(1+EXP(-$B$67*(2026-$B$66)))))</f>
        <v>2003.32347726855</v>
      </c>
      <c r="AD16" s="22" t="n">
        <f aca="false">AC16*(Inputs!$B$54+($B$68-Inputs!$B$54)*C16)</f>
        <v>901.495564770849</v>
      </c>
      <c r="AE16" s="75" t="n">
        <f aca="false">Inputs!$B$13*(1+$B$69)^B16</f>
        <v>15.2865044000983</v>
      </c>
      <c r="AF16" s="22" t="n">
        <f aca="false">MIN(1,B16/Inputs!$B$25)*(AD17*Y16)+(1-MIN(1,B16/Inputs!$B$25))*Inputs!$B$12*Inputs!$B$13</f>
        <v>25623.6523092855</v>
      </c>
      <c r="AG16" s="19" t="n">
        <f aca="false">AF16/AE16</f>
        <v>1676.22705875915</v>
      </c>
      <c r="AH16" s="73" t="n">
        <f aca="false">IF(AND(Inputs!$B$19="Yes",A16&gt;=$B$5),1,0)</f>
        <v>1</v>
      </c>
      <c r="AI16" s="22" t="n">
        <f aca="false">(AA16+AF16)*(1+IF(AH16=1,$B$70*MIN(1,(A16-$B$5+1)/3),0))</f>
        <v>42358.2593910441</v>
      </c>
      <c r="AJ16" s="75" t="n">
        <f aca="false">AE16+Z16*$B$4</f>
        <v>24.8858733511473</v>
      </c>
      <c r="AK16" s="58" t="n">
        <f aca="false">IF(AH16=1,Z16*$B$4/AJ16,1)</f>
        <v>0.385735666801761</v>
      </c>
      <c r="AL16" s="79" t="n">
        <f aca="false">IF(AH16=1,$B$4*AI16/AJ16,AB16)</f>
        <v>3975.13680257006</v>
      </c>
      <c r="AM16" s="19" t="n">
        <f aca="false">AL16*Holdings!$D$15</f>
        <v>1464758.40901101</v>
      </c>
      <c r="AN16" s="80" t="n">
        <f aca="false">AM16/Inputs!$B$14</f>
        <v>1107232.90423389</v>
      </c>
      <c r="AO16" s="21" t="n">
        <f aca="false">AN16/(1+Inputs!$B$17)^B16</f>
        <v>908757.609241387</v>
      </c>
      <c r="AP16" s="20" t="n">
        <f aca="false">AL16/Inputs!$B$9</f>
        <v>10.6003648068535</v>
      </c>
    </row>
    <row r="17" customFormat="false" ht="15" hidden="false" customHeight="false" outlineLevel="0" collapsed="false">
      <c r="A17" s="73" t="n">
        <v>2035</v>
      </c>
      <c r="B17" s="73" t="n">
        <f aca="false">A17-2026</f>
        <v>9</v>
      </c>
      <c r="C17" s="74" t="n">
        <f aca="false">MIN(1,B17/Inputs!$B$27)</f>
        <v>1</v>
      </c>
      <c r="D17" s="75" t="n">
        <f aca="false">Inputs!$B$30+($B$33-Inputs!$B$30)*((1/(1+EXP(-$B$35*($A17-$B$34))))-(1/(1+EXP(-$B$35*(2026-$B$34)))))/(1-(1/(1+EXP(-$B$35*(2026-$B$34)))))</f>
        <v>10.6564907443419</v>
      </c>
      <c r="E17" s="76" t="n">
        <f aca="false">E16-J16+D17+J17</f>
        <v>68.0621688764915</v>
      </c>
      <c r="F17" s="76" t="n">
        <f aca="false">MAX($B$37,Inputs!$B$32*(1+$B$36)^B17)</f>
        <v>34.6005321284012</v>
      </c>
      <c r="G17" s="24" t="n">
        <f aca="false">D17*F17</f>
        <v>368.720250375611</v>
      </c>
      <c r="H17" s="75" t="n">
        <f aca="false">Inputs!$B$34+($B$39-Inputs!$B$34)*((1/(1+EXP(-$B$41*($A17-$B$40))))-(1/(1+EXP(-$B$41*(2026-$B$40)))))/(1-(1/(1+EXP(-$B$41*(2026-$B$40)))))</f>
        <v>30.640021704776</v>
      </c>
      <c r="I17" s="24" t="n">
        <f aca="false">H17*$B$42*12/1000</f>
        <v>36.7680260457312</v>
      </c>
      <c r="J17" s="77" t="n">
        <f aca="false">Inputs!$B$35+($B$44-Inputs!$B$35)*((1/(1+EXP(-$B$46*($A17-$B$45))))-(1/(1+EXP(-$B$46*(2026-$B$45)))))/(1-(1/(1+EXP(-$B$46*(2026-$B$45)))))</f>
        <v>9.84947983347609</v>
      </c>
      <c r="K17" s="77" t="n">
        <f aca="false">(J17+J16)/2</f>
        <v>8.85198651900255</v>
      </c>
      <c r="L17" s="75" t="n">
        <f aca="false">MAX($B$48,Inputs!$B$36*(1-Inputs!$B$37)^B17)</f>
        <v>1</v>
      </c>
      <c r="M17" s="24" t="n">
        <f aca="false">K17*$B$47*L17</f>
        <v>531.119191140153</v>
      </c>
      <c r="N17" s="77" t="n">
        <f aca="false">Inputs!$B$39+($B$50-Inputs!$B$39)*((1/(1+EXP(-$B$52*($A17-$B$51))))-(1/(1+EXP(-$B$52*(2026-$B$51)))))/(1-(1/(1+EXP(-$B$52*(2026-$B$51)))))</f>
        <v>4.48329211693098</v>
      </c>
      <c r="O17" s="75" t="n">
        <f aca="false">O16+N17</f>
        <v>12.9644188290765</v>
      </c>
      <c r="P17" s="76" t="n">
        <f aca="false">MAX($B$53,Inputs!$B$40*(1-Inputs!$B$41)^B17)</f>
        <v>23.6080681643278</v>
      </c>
      <c r="Q17" s="24" t="n">
        <f aca="false">N17*P17</f>
        <v>105.8418658971</v>
      </c>
      <c r="R17" s="22" t="n">
        <f aca="false">Inputs!$B$43+($B$55-Inputs!$B$43)*((1/(1+EXP(-$B$57*($A17-$B$56))))-(1/(1+EXP(-$B$57*(2026-$B$56)))))/(1-(1/(1+EXP(-$B$57*(2026-$B$56)))))</f>
        <v>744.975060148263</v>
      </c>
      <c r="S17" s="73" t="n">
        <f aca="false">MAX($B$58,Inputs!$B$44*(1-Inputs!$B$45)^B17)</f>
        <v>169.670828976998</v>
      </c>
      <c r="T17" s="24" t="n">
        <f aca="false">R17*S17/1000</f>
        <v>126.400536022544</v>
      </c>
      <c r="U17" s="24" t="n">
        <f aca="false">U16*(1+$B$60*Inputs!$B$48^(B17-1))</f>
        <v>46.2328061373916</v>
      </c>
      <c r="V17" s="78" t="n">
        <f aca="false">G17+I17+M17+Q17+T17+U17</f>
        <v>1215.08267561853</v>
      </c>
      <c r="W17" s="24" t="n">
        <f aca="false">G17*(Inputs!$B$33+($B$38-Inputs!$B$33)*C17)+I17*$B$43+M17*(Inputs!$B$38+($B$49-Inputs!$B$38)*C17)+Q17*(Inputs!$B$42+($B$54-Inputs!$B$42)*C17)+T17*(Inputs!$B$46+($B$59-Inputs!$B$46)*C17)+U17*$B$61-V17*Inputs!$B$49</f>
        <v>471.025728361001</v>
      </c>
      <c r="X17" s="24" t="n">
        <f aca="false">(W17-V17*(Inputs!$B$50+Inputs!$B$51))*(1-Inputs!$B$52)</f>
        <v>276.118794031327</v>
      </c>
      <c r="Y17" s="76" t="n">
        <f aca="false">$B$62+($B$63-$B$62)*MIN(1,MAX(0,(A17-2027)/(Inputs!$B$26-2027)))</f>
        <v>25.4545454545455</v>
      </c>
      <c r="Z17" s="77" t="n">
        <f aca="false">Inputs!$B$11*(1+$B$64)^B17</f>
        <v>4.13087340221942</v>
      </c>
      <c r="AA17" s="22" t="n">
        <f aca="false">MIN(1,B17/Inputs!$B$25)*(W18*Y17+Inputs!$B$28)+(1-MIN(1,B17/Inputs!$B$25))*Inputs!$B$9*Inputs!$B$11</f>
        <v>14373.9591596531</v>
      </c>
      <c r="AB17" s="79" t="n">
        <f aca="false">AA17/Z17</f>
        <v>3479.64165445746</v>
      </c>
      <c r="AC17" s="22" t="n">
        <f aca="false">Inputs!$B$53+($B$65-Inputs!$B$53)*((1/(1+EXP(-$B$67*($A17-$B$66))))-(1/(1+EXP(-$B$67*(2026-$B$66)))))/(1-(1/(1+EXP(-$B$67*(2026-$B$66)))))</f>
        <v>2087.85315112697</v>
      </c>
      <c r="AD17" s="22" t="n">
        <f aca="false">AC17*(Inputs!$B$54+($B$68-Inputs!$B$54)*C17)</f>
        <v>939.533918007136</v>
      </c>
      <c r="AE17" s="75" t="n">
        <f aca="false">Inputs!$B$13*(1+$B$69)^B17</f>
        <v>15.5158019660998</v>
      </c>
      <c r="AF17" s="22" t="n">
        <f aca="false">MIN(1,B17/Inputs!$B$25)*(AD18*Y17)+(1-MIN(1,B17/Inputs!$B$25))*Inputs!$B$12*Inputs!$B$13</f>
        <v>24479.5859934461</v>
      </c>
      <c r="AG17" s="19" t="n">
        <f aca="false">AF17/AE17</f>
        <v>1577.71967230125</v>
      </c>
      <c r="AH17" s="73" t="n">
        <f aca="false">IF(AND(Inputs!$B$19="Yes",A17&gt;=$B$5),1,0)</f>
        <v>1</v>
      </c>
      <c r="AI17" s="22" t="n">
        <f aca="false">(AA17+AF17)*(1+IF(AH17=1,$B$70*MIN(1,(A17-$B$5+1)/3),0))</f>
        <v>42738.8996684091</v>
      </c>
      <c r="AJ17" s="75" t="n">
        <f aca="false">AE17+Z17*$B$4</f>
        <v>25.163167761904</v>
      </c>
      <c r="AK17" s="58" t="n">
        <f aca="false">IF(AH17=1,Z17*$B$4/AJ17,1)</f>
        <v>0.383392341023531</v>
      </c>
      <c r="AL17" s="79" t="n">
        <f aca="false">IF(AH17=1,$B$4*AI17/AJ17,AB17)</f>
        <v>3966.65915441453</v>
      </c>
      <c r="AM17" s="19" t="n">
        <f aca="false">AL17*Holdings!$D$15</f>
        <v>1461634.56521867</v>
      </c>
      <c r="AN17" s="80" t="n">
        <f aca="false">AM17/Inputs!$B$14</f>
        <v>1104871.5437438</v>
      </c>
      <c r="AO17" s="21" t="n">
        <f aca="false">AN17/(1+Inputs!$B$17)^B17</f>
        <v>884701.981187012</v>
      </c>
      <c r="AP17" s="20" t="n">
        <f aca="false">AL17/Inputs!$B$9</f>
        <v>10.5777577451054</v>
      </c>
    </row>
    <row r="18" customFormat="false" ht="15" hidden="false" customHeight="false" outlineLevel="0" collapsed="false">
      <c r="A18" s="73" t="n">
        <v>2036</v>
      </c>
      <c r="B18" s="73" t="n">
        <f aca="false">A18-2026</f>
        <v>10</v>
      </c>
      <c r="C18" s="74" t="n">
        <f aca="false">MIN(1,B18/Inputs!$B$27)</f>
        <v>1</v>
      </c>
      <c r="D18" s="75" t="n">
        <f aca="false">Inputs!$B$30+($B$33-Inputs!$B$30)*((1/(1+EXP(-$B$35*($A18-$B$34))))-(1/(1+EXP(-$B$35*(2026-$B$34)))))/(1-(1/(1+EXP(-$B$35*(2026-$B$34)))))</f>
        <v>12.5006688757018</v>
      </c>
      <c r="E18" s="76" t="n">
        <f aca="false">E17-J17+D18+J18</f>
        <v>82.3320295680113</v>
      </c>
      <c r="F18" s="76" t="n">
        <f aca="false">MAX($B$37,Inputs!$B$32*(1+$B$36)^B18)</f>
        <v>33.9085214858332</v>
      </c>
      <c r="G18" s="24" t="n">
        <f aca="false">D18*F18</f>
        <v>423.879199159019</v>
      </c>
      <c r="H18" s="75" t="n">
        <f aca="false">Inputs!$B$34+($B$39-Inputs!$B$34)*((1/(1+EXP(-$B$41*($A18-$B$40))))-(1/(1+EXP(-$B$41*(2026-$B$40)))))/(1-(1/(1+EXP(-$B$41*(2026-$B$40)))))</f>
        <v>35.6276958457755</v>
      </c>
      <c r="I18" s="24" t="n">
        <f aca="false">H18*$B$42*12/1000</f>
        <v>42.7532350149306</v>
      </c>
      <c r="J18" s="77" t="n">
        <f aca="false">Inputs!$B$35+($B$44-Inputs!$B$35)*((1/(1+EXP(-$B$46*($A18-$B$45))))-(1/(1+EXP(-$B$46*(2026-$B$45)))))/(1-(1/(1+EXP(-$B$46*(2026-$B$45)))))</f>
        <v>11.6186716492942</v>
      </c>
      <c r="K18" s="77" t="n">
        <f aca="false">(J18+J17)/2</f>
        <v>10.7340757413851</v>
      </c>
      <c r="L18" s="75" t="n">
        <f aca="false">MAX($B$48,Inputs!$B$36*(1-Inputs!$B$37)^B18)</f>
        <v>1</v>
      </c>
      <c r="M18" s="24" t="n">
        <f aca="false">K18*$B$47*L18</f>
        <v>644.044544483108</v>
      </c>
      <c r="N18" s="77" t="n">
        <f aca="false">Inputs!$B$39+($B$50-Inputs!$B$39)*((1/(1+EXP(-$B$52*($A18-$B$51))))-(1/(1+EXP(-$B$52*(2026-$B$51)))))/(1-(1/(1+EXP(-$B$52*(2026-$B$51)))))</f>
        <v>5.96208916287298</v>
      </c>
      <c r="O18" s="75" t="n">
        <f aca="false">O17+N18</f>
        <v>18.9265079919495</v>
      </c>
      <c r="P18" s="76" t="n">
        <f aca="false">MAX($B$53,Inputs!$B$40*(1-Inputs!$B$41)^B18)</f>
        <v>21.7194227111816</v>
      </c>
      <c r="Q18" s="24" t="n">
        <f aca="false">N18*P18</f>
        <v>129.493134770193</v>
      </c>
      <c r="R18" s="22" t="n">
        <f aca="false">Inputs!$B$43+($B$55-Inputs!$B$43)*((1/(1+EXP(-$B$57*($A18-$B$56))))-(1/(1+EXP(-$B$57*(2026-$B$56)))))/(1-(1/(1+EXP(-$B$57*(2026-$B$56)))))</f>
        <v>875.771924772584</v>
      </c>
      <c r="S18" s="73" t="n">
        <f aca="false">MAX($B$58,Inputs!$B$44*(1-Inputs!$B$45)^B18)</f>
        <v>162.883995817918</v>
      </c>
      <c r="T18" s="24" t="n">
        <f aca="false">R18*S18/1000</f>
        <v>142.649230532107</v>
      </c>
      <c r="U18" s="24" t="n">
        <f aca="false">U17*(1+$B$60*Inputs!$B$48^(B18-1))</f>
        <v>49.8418158441251</v>
      </c>
      <c r="V18" s="78" t="n">
        <f aca="false">G18+I18+M18+Q18+T18+U18</f>
        <v>1432.66115980348</v>
      </c>
      <c r="W18" s="24" t="n">
        <f aca="false">G18*(Inputs!$B$33+($B$38-Inputs!$B$33)*C18)+I18*$B$43+M18*(Inputs!$B$38+($B$49-Inputs!$B$38)*C18)+Q18*(Inputs!$B$42+($B$54-Inputs!$B$42)*C18)+T18*(Inputs!$B$46+($B$59-Inputs!$B$46)*C18)+U18*$B$61-V18*Inputs!$B$49</f>
        <v>563.210181272086</v>
      </c>
      <c r="X18" s="24" t="n">
        <f aca="false">(W18-V18*(Inputs!$B$50+Inputs!$B$51))*(1-Inputs!$B$52)</f>
        <v>331.755811580473</v>
      </c>
      <c r="Y18" s="76" t="n">
        <f aca="false">$B$62+($B$63-$B$62)*MIN(1,MAX(0,(A18-2027)/(Inputs!$B$26-2027)))</f>
        <v>23.6363636363636</v>
      </c>
      <c r="Z18" s="77" t="n">
        <f aca="false">Inputs!$B$11*(1+$B$64)^B18</f>
        <v>4.15152776923052</v>
      </c>
      <c r="AA18" s="22" t="n">
        <f aca="false">MIN(1,B18/Inputs!$B$25)*(W19*Y18+Inputs!$B$28)+(1-MIN(1,B18/Inputs!$B$25))*Inputs!$B$9*Inputs!$B$11</f>
        <v>15189.41922496</v>
      </c>
      <c r="AB18" s="79" t="n">
        <f aca="false">AA18/Z18</f>
        <v>3658.75409470653</v>
      </c>
      <c r="AC18" s="22" t="n">
        <f aca="false">Inputs!$B$53+($B$65-Inputs!$B$53)*((1/(1+EXP(-$B$67*($A18-$B$66))))-(1/(1+EXP(-$B$67*(2026-$B$66)))))/(1-(1/(1+EXP(-$B$67*(2026-$B$66)))))</f>
        <v>2137.10671371355</v>
      </c>
      <c r="AD18" s="22" t="n">
        <f aca="false">AC18*(Inputs!$B$54+($B$68-Inputs!$B$54)*C18)</f>
        <v>961.698021171096</v>
      </c>
      <c r="AE18" s="75" t="n">
        <f aca="false">Inputs!$B$13*(1+$B$69)^B18</f>
        <v>15.7485389955913</v>
      </c>
      <c r="AF18" s="22" t="n">
        <f aca="false">MIN(1,B18/Inputs!$B$25)*(AD19*Y18)+(1-MIN(1,B18/Inputs!$B$25))*Inputs!$B$12*Inputs!$B$13</f>
        <v>23028.4100646121</v>
      </c>
      <c r="AG18" s="19" t="n">
        <f aca="false">AF18/AE18</f>
        <v>1462.25691608972</v>
      </c>
      <c r="AH18" s="73" t="n">
        <f aca="false">IF(AND(Inputs!$B$19="Yes",A18&gt;=$B$5),1,0)</f>
        <v>1</v>
      </c>
      <c r="AI18" s="22" t="n">
        <f aca="false">(AA18+AF18)*(1+IF(AH18=1,$B$70*MIN(1,(A18-$B$5+1)/3),0))</f>
        <v>42039.6122185293</v>
      </c>
      <c r="AJ18" s="75" t="n">
        <f aca="false">AE18+Z18*$B$4</f>
        <v>25.4441416203745</v>
      </c>
      <c r="AK18" s="58" t="n">
        <f aca="false">IF(AH18=1,Z18*$B$4/AJ18,1)</f>
        <v>0.381054419891274</v>
      </c>
      <c r="AL18" s="79" t="n">
        <f aca="false">IF(AH18=1,$B$4*AI18/AJ18,AB18)</f>
        <v>3858.67105722262</v>
      </c>
      <c r="AM18" s="19" t="n">
        <f aca="false">AL18*Holdings!$D$15</f>
        <v>1421843.11116539</v>
      </c>
      <c r="AN18" s="80" t="n">
        <f aca="false">AM18/Inputs!$B$14</f>
        <v>1074792.58535444</v>
      </c>
      <c r="AO18" s="21" t="n">
        <f aca="false">AN18/(1+Inputs!$B$17)^B18</f>
        <v>839626.249865553</v>
      </c>
      <c r="AP18" s="20" t="n">
        <f aca="false">AL18/Inputs!$B$9</f>
        <v>10.289789485927</v>
      </c>
    </row>
    <row r="19" customFormat="false" ht="15" hidden="false" customHeight="false" outlineLevel="0" collapsed="false">
      <c r="A19" s="73" t="n">
        <v>2037</v>
      </c>
      <c r="B19" s="73" t="n">
        <f aca="false">A19-2026</f>
        <v>11</v>
      </c>
      <c r="C19" s="74" t="n">
        <f aca="false">MIN(1,B19/Inputs!$B$27)</f>
        <v>1</v>
      </c>
      <c r="D19" s="75" t="n">
        <f aca="false">Inputs!$B$30+($B$33-Inputs!$B$30)*((1/(1+EXP(-$B$35*($A19-$B$34))))-(1/(1+EXP(-$B$35*(2026-$B$34)))))/(1-(1/(1+EXP(-$B$35*(2026-$B$34)))))</f>
        <v>14.2065473898513</v>
      </c>
      <c r="E19" s="76" t="n">
        <f aca="false">E18-J18+D19+J19</f>
        <v>97.9480086209044</v>
      </c>
      <c r="F19" s="76" t="n">
        <f aca="false">MAX($B$37,Inputs!$B$32*(1+$B$36)^B19)</f>
        <v>33.2303510561165</v>
      </c>
      <c r="G19" s="24" t="n">
        <f aca="false">D19*F19</f>
        <v>472.088557060114</v>
      </c>
      <c r="H19" s="75" t="n">
        <f aca="false">Inputs!$B$34+($B$39-Inputs!$B$34)*((1/(1+EXP(-$B$41*($A19-$B$40))))-(1/(1+EXP(-$B$41*(2026-$B$40)))))/(1-(1/(1+EXP(-$B$41*(2026-$B$40)))))</f>
        <v>39.7636169917124</v>
      </c>
      <c r="I19" s="24" t="n">
        <f aca="false">H19*$B$42*12/1000</f>
        <v>47.7163403900549</v>
      </c>
      <c r="J19" s="77" t="n">
        <f aca="false">Inputs!$B$35+($B$44-Inputs!$B$35)*((1/(1+EXP(-$B$46*($A19-$B$45))))-(1/(1+EXP(-$B$46*(2026-$B$45)))))/(1-(1/(1+EXP(-$B$46*(2026-$B$45)))))</f>
        <v>13.0281033123359</v>
      </c>
      <c r="K19" s="77" t="n">
        <f aca="false">(J19+J18)/2</f>
        <v>12.3233874808151</v>
      </c>
      <c r="L19" s="75" t="n">
        <f aca="false">MAX($B$48,Inputs!$B$36*(1-Inputs!$B$37)^B19)</f>
        <v>1</v>
      </c>
      <c r="M19" s="24" t="n">
        <f aca="false">K19*$B$47*L19</f>
        <v>739.403248848903</v>
      </c>
      <c r="N19" s="77" t="n">
        <f aca="false">Inputs!$B$39+($B$50-Inputs!$B$39)*((1/(1+EXP(-$B$52*($A19-$B$51))))-(1/(1+EXP(-$B$52*(2026-$B$51)))))/(1-(1/(1+EXP(-$B$52*(2026-$B$51)))))</f>
        <v>7.44088620881499</v>
      </c>
      <c r="O19" s="75" t="n">
        <f aca="false">O18+N19</f>
        <v>26.3673942007645</v>
      </c>
      <c r="P19" s="76" t="n">
        <f aca="false">MAX($B$53,Inputs!$B$40*(1-Inputs!$B$41)^B19)</f>
        <v>20</v>
      </c>
      <c r="Q19" s="24" t="n">
        <f aca="false">N19*P19</f>
        <v>148.8177241763</v>
      </c>
      <c r="R19" s="22" t="n">
        <f aca="false">Inputs!$B$43+($B$55-Inputs!$B$43)*((1/(1+EXP(-$B$57*($A19-$B$56))))-(1/(1+EXP(-$B$57*(2026-$B$56)))))/(1-(1/(1+EXP(-$B$57*(2026-$B$56)))))</f>
        <v>998.946985278398</v>
      </c>
      <c r="S19" s="73" t="n">
        <f aca="false">MAX($B$58,Inputs!$B$44*(1-Inputs!$B$45)^B19)</f>
        <v>156.368635985201</v>
      </c>
      <c r="T19" s="24" t="n">
        <f aca="false">R19*S19/1000</f>
        <v>156.203977509512</v>
      </c>
      <c r="U19" s="24" t="n">
        <f aca="false">U18*(1+$B$60*Inputs!$B$48^(B19-1))</f>
        <v>53.4601993980619</v>
      </c>
      <c r="V19" s="78" t="n">
        <f aca="false">G19+I19+M19+Q19+T19+U19</f>
        <v>1617.69004738294</v>
      </c>
      <c r="W19" s="24" t="n">
        <f aca="false">G19*(Inputs!$B$33+($B$38-Inputs!$B$33)*C19)+I19*$B$43+M19*(Inputs!$B$38+($B$49-Inputs!$B$38)*C19)+Q19*(Inputs!$B$42+($B$54-Inputs!$B$42)*C19)+T19*(Inputs!$B$46+($B$59-Inputs!$B$46)*C19)+U19*$B$61-V19*Inputs!$B$49</f>
        <v>641.034274902154</v>
      </c>
      <c r="X19" s="24" t="n">
        <f aca="false">(W19-V19*(Inputs!$B$50+Inputs!$B$51))*(1-Inputs!$B$52)</f>
        <v>378.619563429449</v>
      </c>
      <c r="Y19" s="76" t="n">
        <f aca="false">$B$62+($B$63-$B$62)*MIN(1,MAX(0,(A19-2027)/(Inputs!$B$26-2027)))</f>
        <v>21.8181818181818</v>
      </c>
      <c r="Z19" s="77" t="n">
        <f aca="false">Inputs!$B$11*(1+$B$64)^B19</f>
        <v>4.17228540807667</v>
      </c>
      <c r="AA19" s="22" t="n">
        <f aca="false">MIN(1,B19/Inputs!$B$25)*(W20*Y19+Inputs!$B$28)+(1-MIN(1,B19/Inputs!$B$25))*Inputs!$B$9*Inputs!$B$11</f>
        <v>15427.8145920071</v>
      </c>
      <c r="AB19" s="79" t="n">
        <f aca="false">AA19/Z19</f>
        <v>3697.68917585123</v>
      </c>
      <c r="AC19" s="22" t="n">
        <f aca="false">Inputs!$B$53+($B$65-Inputs!$B$53)*((1/(1+EXP(-$B$67*($A19-$B$66))))-(1/(1+EXP(-$B$67*(2026-$B$66)))))/(1-(1/(1+EXP(-$B$67*(2026-$B$66)))))</f>
        <v>2165.06419410883</v>
      </c>
      <c r="AD19" s="22" t="n">
        <f aca="false">AC19*(Inputs!$B$54+($B$68-Inputs!$B$54)*C19)</f>
        <v>974.278887348972</v>
      </c>
      <c r="AE19" s="75" t="n">
        <f aca="false">Inputs!$B$13*(1+$B$69)^B19</f>
        <v>15.9847670805251</v>
      </c>
      <c r="AF19" s="22" t="n">
        <f aca="false">MIN(1,B19/Inputs!$B$25)*(AD20*Y19)+(1-MIN(1,B19/Inputs!$B$25))*Inputs!$B$12*Inputs!$B$13</f>
        <v>21410.491021812</v>
      </c>
      <c r="AG19" s="19" t="n">
        <f aca="false">AF19/AE19</f>
        <v>1339.43090405723</v>
      </c>
      <c r="AH19" s="73" t="n">
        <f aca="false">IF(AND(Inputs!$B$19="Yes",A19&gt;=$B$5),1,0)</f>
        <v>1</v>
      </c>
      <c r="AI19" s="22" t="n">
        <f aca="false">(AA19+AF19)*(1+IF(AH19=1,$B$70*MIN(1,(A19-$B$5+1)/3),0))</f>
        <v>40522.136175201</v>
      </c>
      <c r="AJ19" s="75" t="n">
        <f aca="false">AE19+Z19*$B$4</f>
        <v>25.7288477184323</v>
      </c>
      <c r="AK19" s="58" t="n">
        <f aca="false">IF(AH19=1,Z19*$B$4/AJ19,1)</f>
        <v>0.378721998922884</v>
      </c>
      <c r="AL19" s="79" t="n">
        <f aca="false">IF(AH19=1,$B$4*AI19/AJ19,AB19)</f>
        <v>3678.22977382841</v>
      </c>
      <c r="AM19" s="19" t="n">
        <f aca="false">AL19*Holdings!$D$15</f>
        <v>1355354.10706029</v>
      </c>
      <c r="AN19" s="80" t="n">
        <f aca="false">AM19/Inputs!$B$14</f>
        <v>1024532.54747925</v>
      </c>
      <c r="AO19" s="21" t="n">
        <f aca="false">AN19/(1+Inputs!$B$17)^B19</f>
        <v>780842.135226121</v>
      </c>
      <c r="AP19" s="20" t="n">
        <f aca="false">AL19/Inputs!$B$9</f>
        <v>9.8086127302091</v>
      </c>
    </row>
    <row r="20" customFormat="false" ht="15" hidden="false" customHeight="false" outlineLevel="0" collapsed="false">
      <c r="A20" s="73" t="n">
        <v>2038</v>
      </c>
      <c r="B20" s="73" t="n">
        <f aca="false">A20-2026</f>
        <v>12</v>
      </c>
      <c r="C20" s="74" t="n">
        <f aca="false">MIN(1,B20/Inputs!$B$27)</f>
        <v>1</v>
      </c>
      <c r="D20" s="75" t="n">
        <f aca="false">Inputs!$B$30+($B$33-Inputs!$B$30)*((1/(1+EXP(-$B$35*($A20-$B$34))))-(1/(1+EXP(-$B$35*(2026-$B$34)))))/(1-(1/(1+EXP(-$B$35*(2026-$B$34)))))</f>
        <v>15.6744183443352</v>
      </c>
      <c r="E20" s="76" t="n">
        <f aca="false">E19-J19+D20+J20</f>
        <v>114.652387230161</v>
      </c>
      <c r="F20" s="76" t="n">
        <f aca="false">MAX($B$37,Inputs!$B$32*(1+$B$36)^B20)</f>
        <v>32.5657440349942</v>
      </c>
      <c r="G20" s="24" t="n">
        <f aca="false">D20*F20</f>
        <v>510.449095699038</v>
      </c>
      <c r="H20" s="75" t="n">
        <f aca="false">Inputs!$B$34+($B$39-Inputs!$B$34)*((1/(1+EXP(-$B$41*($A20-$B$40))))-(1/(1+EXP(-$B$41*(2026-$B$40)))))/(1-(1/(1+EXP(-$B$41*(2026-$B$40)))))</f>
        <v>42.9468149411086</v>
      </c>
      <c r="I20" s="24" t="n">
        <f aca="false">H20*$B$42*12/1000</f>
        <v>51.5361779293303</v>
      </c>
      <c r="J20" s="77" t="n">
        <f aca="false">Inputs!$B$35+($B$44-Inputs!$B$35)*((1/(1+EXP(-$B$46*($A20-$B$45))))-(1/(1+EXP(-$B$46*(2026-$B$45)))))/(1-(1/(1+EXP(-$B$46*(2026-$B$45)))))</f>
        <v>14.0580635772577</v>
      </c>
      <c r="K20" s="77" t="n">
        <f aca="false">(J20+J19)/2</f>
        <v>13.5430834447968</v>
      </c>
      <c r="L20" s="75" t="n">
        <f aca="false">MAX($B$48,Inputs!$B$36*(1-Inputs!$B$37)^B20)</f>
        <v>1</v>
      </c>
      <c r="M20" s="24" t="n">
        <f aca="false">K20*$B$47*L20</f>
        <v>812.585006687809</v>
      </c>
      <c r="N20" s="77" t="n">
        <f aca="false">Inputs!$B$39+($B$50-Inputs!$B$39)*((1/(1+EXP(-$B$52*($A20-$B$51))))-(1/(1+EXP(-$B$52*(2026-$B$51)))))/(1-(1/(1+EXP(-$B$52*(2026-$B$51)))))</f>
        <v>8.75231135471553</v>
      </c>
      <c r="O20" s="75" t="n">
        <f aca="false">O19+N20</f>
        <v>35.11970555548</v>
      </c>
      <c r="P20" s="76" t="n">
        <f aca="false">MAX($B$53,Inputs!$B$40*(1-Inputs!$B$41)^B20)</f>
        <v>20</v>
      </c>
      <c r="Q20" s="24" t="n">
        <f aca="false">N20*P20</f>
        <v>175.046227094311</v>
      </c>
      <c r="R20" s="22" t="n">
        <f aca="false">Inputs!$B$43+($B$55-Inputs!$B$43)*((1/(1+EXP(-$B$57*($A20-$B$56))))-(1/(1+EXP(-$B$57*(2026-$B$56)))))/(1-(1/(1+EXP(-$B$57*(2026-$B$56)))))</f>
        <v>1108.55716769389</v>
      </c>
      <c r="S20" s="73" t="n">
        <f aca="false">MAX($B$58,Inputs!$B$44*(1-Inputs!$B$45)^B20)</f>
        <v>150.113890545793</v>
      </c>
      <c r="T20" s="24" t="n">
        <f aca="false">R20*S20/1000</f>
        <v>166.409829334955</v>
      </c>
      <c r="U20" s="24" t="n">
        <f aca="false">U19*(1+$B$60*Inputs!$B$48^(B20-1))</f>
        <v>57.0695931933099</v>
      </c>
      <c r="V20" s="78" t="n">
        <f aca="false">G20+I20+M20+Q20+T20+U20</f>
        <v>1773.09592993875</v>
      </c>
      <c r="W20" s="24" t="n">
        <f aca="false">G20*(Inputs!$B$33+($B$38-Inputs!$B$33)*C20)+I20*$B$43+M20*(Inputs!$B$38+($B$49-Inputs!$B$38)*C20)+Q20*(Inputs!$B$42+($B$54-Inputs!$B$42)*C20)+T20*(Inputs!$B$46+($B$59-Inputs!$B$46)*C20)+U20*$B$61-V20*Inputs!$B$49</f>
        <v>705.380252133661</v>
      </c>
      <c r="X20" s="24" t="n">
        <f aca="false">(W20-V20*(Inputs!$B$50+Inputs!$B$51))*(1-Inputs!$B$52)</f>
        <v>417.175820720431</v>
      </c>
      <c r="Y20" s="76" t="n">
        <f aca="false">$B$62+($B$63-$B$62)*MIN(1,MAX(0,(A20-2027)/(Inputs!$B$26-2027)))</f>
        <v>20</v>
      </c>
      <c r="Z20" s="77" t="n">
        <f aca="false">Inputs!$B$11*(1+$B$64)^B20</f>
        <v>4.19314683511705</v>
      </c>
      <c r="AA20" s="22" t="n">
        <f aca="false">MIN(1,B20/Inputs!$B$25)*(W21*Y20+Inputs!$B$28)+(1-MIN(1,B20/Inputs!$B$25))*Inputs!$B$9*Inputs!$B$11</f>
        <v>15080.223712509</v>
      </c>
      <c r="AB20" s="79" t="n">
        <f aca="false">AA20/Z20</f>
        <v>3596.397718824</v>
      </c>
      <c r="AC20" s="22" t="n">
        <f aca="false">Inputs!$B$53+($B$65-Inputs!$B$53)*((1/(1+EXP(-$B$67*($A20-$B$66))))-(1/(1+EXP(-$B$67*(2026-$B$66)))))/(1-(1/(1+EXP(-$B$67*(2026-$B$66)))))</f>
        <v>2180.698159629</v>
      </c>
      <c r="AD20" s="22" t="n">
        <f aca="false">AC20*(Inputs!$B$54+($B$68-Inputs!$B$54)*C20)</f>
        <v>981.314171833049</v>
      </c>
      <c r="AE20" s="75" t="n">
        <f aca="false">Inputs!$B$13*(1+$B$69)^B20</f>
        <v>16.224538586733</v>
      </c>
      <c r="AF20" s="22" t="n">
        <f aca="false">MIN(1,B20/Inputs!$B$25)*(AD21*Y20)+(1-MIN(1,B20/Inputs!$B$25))*Inputs!$B$12*Inputs!$B$13</f>
        <v>19704.3099157488</v>
      </c>
      <c r="AG20" s="19" t="n">
        <f aca="false">AF20/AE20</f>
        <v>1214.47582687259</v>
      </c>
      <c r="AH20" s="73" t="n">
        <f aca="false">IF(AND(Inputs!$B$19="Yes",A20&gt;=$B$5),1,0)</f>
        <v>1</v>
      </c>
      <c r="AI20" s="22" t="n">
        <f aca="false">(AA20+AF20)*(1+IF(AH20=1,$B$70*MIN(1,(A20-$B$5+1)/3),0))</f>
        <v>38262.9869910837</v>
      </c>
      <c r="AJ20" s="75" t="n">
        <f aca="false">AE20+Z20*$B$4</f>
        <v>26.0173396278297</v>
      </c>
      <c r="AK20" s="58" t="n">
        <f aca="false">IF(AH20=1,Z20*$B$4/AJ20,1)</f>
        <v>0.376395172649463</v>
      </c>
      <c r="AL20" s="79" t="n">
        <f aca="false">IF(AH20=1,$B$4*AI20/AJ20,AB20)</f>
        <v>3434.65281825531</v>
      </c>
      <c r="AM20" s="19" t="n">
        <f aca="false">AL20*Holdings!$D$15</f>
        <v>1265600.87047072</v>
      </c>
      <c r="AN20" s="80" t="n">
        <f aca="false">AM20/Inputs!$B$14</f>
        <v>956686.726487804</v>
      </c>
      <c r="AO20" s="21" t="n">
        <f aca="false">AN20/(1+Inputs!$B$17)^B20</f>
        <v>711350.045624738</v>
      </c>
      <c r="AP20" s="20" t="n">
        <f aca="false">AL20/Inputs!$B$9</f>
        <v>9.15907418201415</v>
      </c>
    </row>
    <row r="21" customFormat="false" ht="15" hidden="false" customHeight="false" outlineLevel="0" collapsed="false">
      <c r="A21" s="73" t="n">
        <v>2039</v>
      </c>
      <c r="B21" s="73" t="n">
        <f aca="false">A21-2026</f>
        <v>13</v>
      </c>
      <c r="C21" s="74" t="n">
        <f aca="false">MIN(1,B21/Inputs!$B$27)</f>
        <v>1</v>
      </c>
      <c r="D21" s="75" t="n">
        <f aca="false">Inputs!$B$30+($B$33-Inputs!$B$30)*((1/(1+EXP(-$B$35*($A21-$B$34))))-(1/(1+EXP(-$B$35*(2026-$B$34)))))/(1-(1/(1+EXP(-$B$35*(2026-$B$34)))))</f>
        <v>16.8609244534369</v>
      </c>
      <c r="E21" s="76" t="n">
        <f aca="false">E20-J20+D21+J21</f>
        <v>132.21944146463</v>
      </c>
      <c r="F21" s="76" t="n">
        <f aca="false">MAX($B$37,Inputs!$B$32*(1+$B$36)^B21)</f>
        <v>31.9144291542943</v>
      </c>
      <c r="G21" s="24" t="n">
        <f aca="false">D21*F21</f>
        <v>538.106778945119</v>
      </c>
      <c r="H21" s="75" t="n">
        <f aca="false">Inputs!$B$34+($B$39-Inputs!$B$34)*((1/(1+EXP(-$B$41*($A21-$B$40))))-(1/(1+EXP(-$B$41*(2026-$B$40)))))/(1-(1/(1+EXP(-$B$41*(2026-$B$40)))))</f>
        <v>45.2589892668661</v>
      </c>
      <c r="I21" s="24" t="n">
        <f aca="false">H21*$B$42*12/1000</f>
        <v>54.3107871202393</v>
      </c>
      <c r="J21" s="77" t="n">
        <f aca="false">Inputs!$B$35+($B$44-Inputs!$B$35)*((1/(1+EXP(-$B$46*($A21-$B$45))))-(1/(1+EXP(-$B$46*(2026-$B$45)))))/(1-(1/(1+EXP(-$B$46*(2026-$B$45)))))</f>
        <v>14.7641933582898</v>
      </c>
      <c r="K21" s="77" t="n">
        <f aca="false">(J21+J20)/2</f>
        <v>14.4111284677737</v>
      </c>
      <c r="L21" s="75" t="n">
        <f aca="false">MAX($B$48,Inputs!$B$36*(1-Inputs!$B$37)^B21)</f>
        <v>1</v>
      </c>
      <c r="M21" s="24" t="n">
        <f aca="false">K21*$B$47*L21</f>
        <v>864.667708066425</v>
      </c>
      <c r="N21" s="77" t="n">
        <f aca="false">Inputs!$B$39+($B$50-Inputs!$B$39)*((1/(1+EXP(-$B$52*($A21-$B$51))))-(1/(1+EXP(-$B$52*(2026-$B$51)))))/(1-(1/(1+EXP(-$B$52*(2026-$B$51)))))</f>
        <v>9.79706190568206</v>
      </c>
      <c r="O21" s="75" t="n">
        <f aca="false">O20+N21</f>
        <v>44.9167674611621</v>
      </c>
      <c r="P21" s="76" t="n">
        <f aca="false">MAX($B$53,Inputs!$B$40*(1-Inputs!$B$41)^B21)</f>
        <v>20</v>
      </c>
      <c r="Q21" s="24" t="n">
        <f aca="false">N21*P21</f>
        <v>195.941238113641</v>
      </c>
      <c r="R21" s="22" t="n">
        <f aca="false">Inputs!$B$43+($B$55-Inputs!$B$43)*((1/(1+EXP(-$B$57*($A21-$B$56))))-(1/(1+EXP(-$B$57*(2026-$B$56)))))/(1-(1/(1+EXP(-$B$57*(2026-$B$56)))))</f>
        <v>1201.28780471448</v>
      </c>
      <c r="S21" s="73" t="n">
        <f aca="false">MAX($B$58,Inputs!$B$44*(1-Inputs!$B$45)^B21)</f>
        <v>144.109334923961</v>
      </c>
      <c r="T21" s="24" t="n">
        <f aca="false">R21*S21/1000</f>
        <v>173.116786589669</v>
      </c>
      <c r="U21" s="24" t="n">
        <f aca="false">U20*(1+$B$60*Inputs!$B$48^(B21-1))</f>
        <v>60.6529612547159</v>
      </c>
      <c r="V21" s="78" t="n">
        <f aca="false">G21+I21+M21+Q21+T21+U21</f>
        <v>1886.79626008981</v>
      </c>
      <c r="W21" s="24" t="n">
        <f aca="false">G21*(Inputs!$B$33+($B$38-Inputs!$B$33)*C21)+I21*$B$43+M21*(Inputs!$B$38+($B$49-Inputs!$B$38)*C21)+Q21*(Inputs!$B$42+($B$54-Inputs!$B$42)*C21)+T21*(Inputs!$B$46+($B$59-Inputs!$B$46)*C21)+U21*$B$61-V21*Inputs!$B$49</f>
        <v>752.126185625452</v>
      </c>
      <c r="X21" s="24" t="n">
        <f aca="false">(W21-V21*(Inputs!$B$50+Inputs!$B$51))*(1-Inputs!$B$52)</f>
        <v>445.122782097013</v>
      </c>
      <c r="Y21" s="76" t="n">
        <f aca="false">$B$62+($B$63-$B$62)*MIN(1,MAX(0,(A21-2027)/(Inputs!$B$26-2027)))</f>
        <v>20</v>
      </c>
      <c r="Z21" s="77" t="n">
        <f aca="false">Inputs!$B$11*(1+$B$64)^B21</f>
        <v>4.21411256929264</v>
      </c>
      <c r="AA21" s="22" t="n">
        <f aca="false">MIN(1,B21/Inputs!$B$25)*(W22*Y21+Inputs!$B$28)+(1-MIN(1,B21/Inputs!$B$25))*Inputs!$B$9*Inputs!$B$11</f>
        <v>15715.3019810304</v>
      </c>
      <c r="AB21" s="79" t="n">
        <f aca="false">AA21/Z21</f>
        <v>3729.20792281263</v>
      </c>
      <c r="AC21" s="22" t="n">
        <f aca="false">Inputs!$B$53+($B$65-Inputs!$B$53)*((1/(1+EXP(-$B$67*($A21-$B$66))))-(1/(1+EXP(-$B$67*(2026-$B$66)))))/(1-(1/(1+EXP(-$B$67*(2026-$B$66)))))</f>
        <v>2189.36776841654</v>
      </c>
      <c r="AD21" s="22" t="n">
        <f aca="false">AC21*(Inputs!$B$54+($B$68-Inputs!$B$54)*C21)</f>
        <v>985.215495787441</v>
      </c>
      <c r="AE21" s="75" t="n">
        <f aca="false">Inputs!$B$13*(1+$B$69)^B21</f>
        <v>16.467906665534</v>
      </c>
      <c r="AF21" s="22" t="n">
        <f aca="false">MIN(1,B21/Inputs!$B$25)*(AD22*Y21)+(1-MIN(1,B21/Inputs!$B$25))*Inputs!$B$12*Inputs!$B$13</f>
        <v>19747.3774146475</v>
      </c>
      <c r="AG21" s="19" t="n">
        <f aca="false">AF21/AE21</f>
        <v>1199.14314646786</v>
      </c>
      <c r="AH21" s="73" t="n">
        <f aca="false">IF(AND(Inputs!$B$19="Yes",A21&gt;=$B$5),1,0)</f>
        <v>1</v>
      </c>
      <c r="AI21" s="22" t="n">
        <f aca="false">(AA21+AF21)*(1+IF(AH21=1,$B$70*MIN(1,(A21-$B$5+1)/3),0))</f>
        <v>39008.9473352457</v>
      </c>
      <c r="AJ21" s="75" t="n">
        <f aca="false">AE21+Z21*$B$4</f>
        <v>26.3096717118362</v>
      </c>
      <c r="AK21" s="58" t="n">
        <f aca="false">IF(AH21=1,Z21*$B$4/AJ21,1)</f>
        <v>0.374074034602057</v>
      </c>
      <c r="AL21" s="79" t="n">
        <f aca="false">IF(AH21=1,$B$4*AI21/AJ21,AB21)</f>
        <v>3462.70634097558</v>
      </c>
      <c r="AM21" s="19" t="n">
        <f aca="false">AL21*Holdings!$D$15</f>
        <v>1275938.03252268</v>
      </c>
      <c r="AN21" s="80" t="n">
        <f aca="false">AM21/Inputs!$B$14</f>
        <v>964500.742703668</v>
      </c>
      <c r="AO21" s="21" t="n">
        <f aca="false">AN21/(1+Inputs!$B$17)^B21</f>
        <v>699668.491090618</v>
      </c>
      <c r="AP21" s="20" t="n">
        <f aca="false">AL21/Inputs!$B$9</f>
        <v>9.23388357593488</v>
      </c>
    </row>
    <row r="22" customFormat="false" ht="15" hidden="false" customHeight="false" outlineLevel="0" collapsed="false">
      <c r="A22" s="73" t="n">
        <v>2040</v>
      </c>
      <c r="B22" s="73" t="n">
        <f aca="false">A22-2026</f>
        <v>14</v>
      </c>
      <c r="C22" s="74" t="n">
        <f aca="false">MIN(1,B22/Inputs!$B$27)</f>
        <v>1</v>
      </c>
      <c r="D22" s="75" t="n">
        <f aca="false">Inputs!$B$30+($B$33-Inputs!$B$30)*((1/(1+EXP(-$B$35*($A22-$B$34))))-(1/(1+EXP(-$B$35*(2026-$B$34)))))/(1-(1/(1+EXP(-$B$35*(2026-$B$34)))))</f>
        <v>17.7724527895697</v>
      </c>
      <c r="E22" s="76" t="n">
        <f aca="false">E21-J21+D22+J22</f>
        <v>150.455085351412</v>
      </c>
      <c r="F22" s="76" t="n">
        <f aca="false">MAX($B$37,Inputs!$B$32*(1+$B$36)^B22)</f>
        <v>31.2761405712084</v>
      </c>
      <c r="G22" s="24" t="n">
        <f aca="false">D22*F22</f>
        <v>555.853731741747</v>
      </c>
      <c r="H22" s="75" t="n">
        <f aca="false">Inputs!$B$34+($B$39-Inputs!$B$34)*((1/(1+EXP(-$B$41*($A22-$B$40))))-(1/(1+EXP(-$B$41*(2026-$B$40)))))/(1-(1/(1+EXP(-$B$41*(2026-$B$40)))))</f>
        <v>46.8688093081215</v>
      </c>
      <c r="I22" s="24" t="n">
        <f aca="false">H22*$B$42*12/1000</f>
        <v>56.2425711697458</v>
      </c>
      <c r="J22" s="77" t="n">
        <f aca="false">Inputs!$B$35+($B$44-Inputs!$B$35)*((1/(1+EXP(-$B$46*($A22-$B$45))))-(1/(1+EXP(-$B$46*(2026-$B$45)))))/(1-(1/(1+EXP(-$B$46*(2026-$B$45)))))</f>
        <v>15.227384455502</v>
      </c>
      <c r="K22" s="77" t="n">
        <f aca="false">(J22+J21)/2</f>
        <v>14.9957889068959</v>
      </c>
      <c r="L22" s="75" t="n">
        <f aca="false">MAX($B$48,Inputs!$B$36*(1-Inputs!$B$37)^B22)</f>
        <v>1</v>
      </c>
      <c r="M22" s="24" t="n">
        <f aca="false">K22*$B$47*L22</f>
        <v>899.747334413753</v>
      </c>
      <c r="N22" s="77" t="n">
        <f aca="false">Inputs!$B$39+($B$50-Inputs!$B$39)*((1/(1+EXP(-$B$52*($A22-$B$51))))-(1/(1+EXP(-$B$52*(2026-$B$51)))))/(1-(1/(1+EXP(-$B$52*(2026-$B$51)))))</f>
        <v>10.5605267706109</v>
      </c>
      <c r="O22" s="75" t="n">
        <f aca="false">O21+N22</f>
        <v>55.477294231773</v>
      </c>
      <c r="P22" s="76" t="n">
        <f aca="false">MAX($B$53,Inputs!$B$40*(1-Inputs!$B$41)^B22)</f>
        <v>20</v>
      </c>
      <c r="Q22" s="24" t="n">
        <f aca="false">N22*P22</f>
        <v>211.210535412218</v>
      </c>
      <c r="R22" s="22" t="n">
        <f aca="false">Inputs!$B$43+($B$55-Inputs!$B$43)*((1/(1+EXP(-$B$57*($A22-$B$56))))-(1/(1+EXP(-$B$57*(2026-$B$56)))))/(1-(1/(1+EXP(-$B$57*(2026-$B$56)))))</f>
        <v>1276.44134642181</v>
      </c>
      <c r="S22" s="73" t="n">
        <f aca="false">MAX($B$58,Inputs!$B$44*(1-Inputs!$B$45)^B22)</f>
        <v>138.344961527003</v>
      </c>
      <c r="T22" s="24" t="n">
        <f aca="false">R22*S22/1000</f>
        <v>176.589228962201</v>
      </c>
      <c r="U22" s="24" t="n">
        <f aca="false">U21*(1+$B$60*Inputs!$B$48^(B22-1))</f>
        <v>64.1947414039434</v>
      </c>
      <c r="V22" s="78" t="n">
        <f aca="false">G22+I22+M22+Q22+T22+U22</f>
        <v>1963.83814310361</v>
      </c>
      <c r="W22" s="24" t="n">
        <f aca="false">G22*(Inputs!$B$33+($B$38-Inputs!$B$33)*C22)+I22*$B$43+M22*(Inputs!$B$38+($B$49-Inputs!$B$38)*C22)+Q22*(Inputs!$B$42+($B$54-Inputs!$B$42)*C22)+T22*(Inputs!$B$46+($B$59-Inputs!$B$46)*C22)+U22*$B$61-V22*Inputs!$B$49</f>
        <v>783.88009905152</v>
      </c>
      <c r="X22" s="24" t="n">
        <f aca="false">(W22-V22*(Inputs!$B$50+Inputs!$B$51))*(1-Inputs!$B$52)</f>
        <v>464.122064945516</v>
      </c>
      <c r="Y22" s="76" t="n">
        <f aca="false">$B$62+($B$63-$B$62)*MIN(1,MAX(0,(A22-2027)/(Inputs!$B$26-2027)))</f>
        <v>20</v>
      </c>
      <c r="Z22" s="77" t="n">
        <f aca="false">Inputs!$B$11*(1+$B$64)^B22</f>
        <v>4.2351831321391</v>
      </c>
      <c r="AA22" s="22" t="n">
        <f aca="false">MIN(1,B22/Inputs!$B$25)*(W23*Y22+Inputs!$B$28)+(1-MIN(1,B22/Inputs!$B$25))*Inputs!$B$9*Inputs!$B$11</f>
        <v>16122.080515773</v>
      </c>
      <c r="AB22" s="79" t="n">
        <f aca="false">AA22/Z22</f>
        <v>3806.70209829395</v>
      </c>
      <c r="AC22" s="22" t="n">
        <f aca="false">Inputs!$B$53+($B$65-Inputs!$B$53)*((1/(1+EXP(-$B$67*($A22-$B$66))))-(1/(1+EXP(-$B$67*(2026-$B$66)))))/(1-(1/(1+EXP(-$B$67*(2026-$B$66)))))</f>
        <v>2194.15304607194</v>
      </c>
      <c r="AD22" s="22" t="n">
        <f aca="false">AC22*(Inputs!$B$54+($B$68-Inputs!$B$54)*C22)</f>
        <v>987.368870732375</v>
      </c>
      <c r="AE22" s="75" t="n">
        <f aca="false">Inputs!$B$13*(1+$B$69)^B22</f>
        <v>16.714925265517</v>
      </c>
      <c r="AF22" s="22" t="n">
        <f aca="false">MIN(1,B22/Inputs!$B$25)*(AD23*Y22)+(1-MIN(1,B22/Inputs!$B$25))*Inputs!$B$12*Inputs!$B$13</f>
        <v>19771.087857908</v>
      </c>
      <c r="AG22" s="19" t="n">
        <f aca="false">AF22/AE22</f>
        <v>1182.8403384307</v>
      </c>
      <c r="AH22" s="73" t="n">
        <f aca="false">IF(AND(Inputs!$B$19="Yes",A22&gt;=$B$5),1,0)</f>
        <v>1</v>
      </c>
      <c r="AI22" s="22" t="n">
        <f aca="false">(AA22+AF22)*(1+IF(AH22=1,$B$70*MIN(1,(A22-$B$5+1)/3),0))</f>
        <v>39482.4852110492</v>
      </c>
      <c r="AJ22" s="75" t="n">
        <f aca="false">AE22+Z22*$B$4</f>
        <v>26.6058991370507</v>
      </c>
      <c r="AK22" s="58" t="n">
        <f aca="false">IF(AH22=1,Z22*$B$4/AJ22,1)</f>
        <v>0.371758677298741</v>
      </c>
      <c r="AL22" s="79" t="n">
        <f aca="false">IF(AH22=1,$B$4*AI22/AJ22,AB22)</f>
        <v>3465.71943185683</v>
      </c>
      <c r="AM22" s="19" t="n">
        <f aca="false">AL22*Holdings!$D$15</f>
        <v>1277048.2962506</v>
      </c>
      <c r="AN22" s="80" t="n">
        <f aca="false">AM22/Inputs!$B$14</f>
        <v>965340.007748586</v>
      </c>
      <c r="AO22" s="21" t="n">
        <f aca="false">AN22/(1+Inputs!$B$17)^B22</f>
        <v>683197.376638805</v>
      </c>
      <c r="AP22" s="20" t="n">
        <f aca="false">AL22/Inputs!$B$9</f>
        <v>9.24191848495154</v>
      </c>
    </row>
    <row r="23" customFormat="false" ht="15" hidden="false" customHeight="false" outlineLevel="0" collapsed="false">
      <c r="A23" s="73" t="n">
        <v>2041</v>
      </c>
      <c r="B23" s="73" t="n">
        <f aca="false">A23-2026</f>
        <v>15</v>
      </c>
      <c r="C23" s="74" t="n">
        <f aca="false">MIN(1,B23/Inputs!$B$27)</f>
        <v>1</v>
      </c>
      <c r="D23" s="75" t="n">
        <f aca="false">Inputs!$B$30+($B$33-Inputs!$B$30)*((1/(1+EXP(-$B$35*($A23-$B$34))))-(1/(1+EXP(-$B$35*(2026-$B$34)))))/(1-(1/(1+EXP(-$B$35*(2026-$B$34)))))</f>
        <v>18.445750280982</v>
      </c>
      <c r="E23" s="76" t="n">
        <f aca="false">E22-J22+D23+J23</f>
        <v>169.195925227341</v>
      </c>
      <c r="F23" s="76" t="n">
        <f aca="false">MAX($B$37,Inputs!$B$32*(1+$B$36)^B23)</f>
        <v>30.6506177597843</v>
      </c>
      <c r="G23" s="24" t="n">
        <f aca="false">D23*F23</f>
        <v>565.373641154812</v>
      </c>
      <c r="H23" s="75" t="n">
        <f aca="false">Inputs!$B$34+($B$39-Inputs!$B$34)*((1/(1+EXP(-$B$41*($A23-$B$40))))-(1/(1+EXP(-$B$41*(2026-$B$40)))))/(1-(1/(1+EXP(-$B$41*(2026-$B$40)))))</f>
        <v>47.9568402277587</v>
      </c>
      <c r="I23" s="24" t="n">
        <f aca="false">H23*$B$42*12/1000</f>
        <v>57.5482082733104</v>
      </c>
      <c r="J23" s="77" t="n">
        <f aca="false">Inputs!$B$35+($B$44-Inputs!$B$35)*((1/(1+EXP(-$B$46*($A23-$B$45))))-(1/(1+EXP(-$B$46*(2026-$B$45)))))/(1-(1/(1+EXP(-$B$46*(2026-$B$45)))))</f>
        <v>15.5224740504488</v>
      </c>
      <c r="K23" s="77" t="n">
        <f aca="false">(J23+J22)/2</f>
        <v>15.3749292529754</v>
      </c>
      <c r="L23" s="75" t="n">
        <f aca="false">MAX($B$48,Inputs!$B$36*(1-Inputs!$B$37)^B23)</f>
        <v>1</v>
      </c>
      <c r="M23" s="24" t="n">
        <f aca="false">K23*$B$47*L23</f>
        <v>922.495755178524</v>
      </c>
      <c r="N23" s="77" t="n">
        <f aca="false">Inputs!$B$39+($B$50-Inputs!$B$39)*((1/(1+EXP(-$B$52*($A23-$B$51))))-(1/(1+EXP(-$B$52*(2026-$B$51)))))/(1-(1/(1+EXP(-$B$52*(2026-$B$51)))))</f>
        <v>11.08395014553</v>
      </c>
      <c r="O23" s="75" t="n">
        <f aca="false">O22+N23</f>
        <v>66.561244377303</v>
      </c>
      <c r="P23" s="76" t="n">
        <f aca="false">MAX($B$53,Inputs!$B$40*(1-Inputs!$B$41)^B23)</f>
        <v>20</v>
      </c>
      <c r="Q23" s="24" t="n">
        <f aca="false">N23*P23</f>
        <v>221.6790029106</v>
      </c>
      <c r="R23" s="22" t="n">
        <f aca="false">Inputs!$B$43+($B$55-Inputs!$B$43)*((1/(1+EXP(-$B$57*($A23-$B$56))))-(1/(1+EXP(-$B$57*(2026-$B$56)))))/(1-(1/(1+EXP(-$B$57*(2026-$B$56)))))</f>
        <v>1335.25835827753</v>
      </c>
      <c r="S23" s="73" t="n">
        <f aca="false">MAX($B$58,Inputs!$B$44*(1-Inputs!$B$45)^B23)</f>
        <v>132.811163065923</v>
      </c>
      <c r="T23" s="24" t="n">
        <f aca="false">R23*S23/1000</f>
        <v>177.337215556334</v>
      </c>
      <c r="U23" s="24" t="n">
        <f aca="false">U22*(1+$B$60*Inputs!$B$48^(B23-1))</f>
        <v>67.6809389474738</v>
      </c>
      <c r="V23" s="78" t="n">
        <f aca="false">G23+I23+M23+Q23+T23+U23</f>
        <v>2012.11476202105</v>
      </c>
      <c r="W23" s="24" t="n">
        <f aca="false">G23*(Inputs!$B$33+($B$38-Inputs!$B$33)*C23)+I23*$B$43+M23*(Inputs!$B$38+($B$49-Inputs!$B$38)*C23)+Q23*(Inputs!$B$42+($B$54-Inputs!$B$42)*C23)+T23*(Inputs!$B$46+($B$59-Inputs!$B$46)*C23)+U23*$B$61-V23*Inputs!$B$49</f>
        <v>804.219025788652</v>
      </c>
      <c r="X23" s="24" t="n">
        <f aca="false">(W23-V23*(Inputs!$B$50+Inputs!$B$51))*(1-Inputs!$B$52)</f>
        <v>476.375964173372</v>
      </c>
      <c r="Y23" s="76" t="n">
        <f aca="false">$B$62+($B$63-$B$62)*MIN(1,MAX(0,(A23-2027)/(Inputs!$B$26-2027)))</f>
        <v>20</v>
      </c>
      <c r="Z23" s="77" t="n">
        <f aca="false">Inputs!$B$11*(1+$B$64)^B23</f>
        <v>4.25635904779979</v>
      </c>
      <c r="AA23" s="22" t="n">
        <f aca="false">MIN(1,B23/Inputs!$B$25)*(W24*Y23+Inputs!$B$28)+(1-MIN(1,B23/Inputs!$B$25))*Inputs!$B$9*Inputs!$B$11</f>
        <v>16367.4305903708</v>
      </c>
      <c r="AB23" s="79" t="n">
        <f aca="false">AA23/Z23</f>
        <v>3845.4064627916</v>
      </c>
      <c r="AC23" s="22" t="n">
        <f aca="false">Inputs!$B$53+($B$65-Inputs!$B$53)*((1/(1+EXP(-$B$67*($A23-$B$66))))-(1/(1+EXP(-$B$67*(2026-$B$66)))))/(1-(1/(1+EXP(-$B$67*(2026-$B$66)))))</f>
        <v>2196.78753976756</v>
      </c>
      <c r="AD23" s="22" t="n">
        <f aca="false">AC23*(Inputs!$B$54+($B$68-Inputs!$B$54)*C23)</f>
        <v>988.554392895401</v>
      </c>
      <c r="AE23" s="75" t="n">
        <f aca="false">Inputs!$B$13*(1+$B$69)^B23</f>
        <v>16.9656491444998</v>
      </c>
      <c r="AF23" s="22" t="n">
        <f aca="false">MIN(1,B23/Inputs!$B$25)*(AD24*Y23)+(1-MIN(1,B23/Inputs!$B$25))*Inputs!$B$12*Inputs!$B$13</f>
        <v>19784.1229481821</v>
      </c>
      <c r="AG23" s="19" t="n">
        <f aca="false">AF23/AE23</f>
        <v>1166.12826185882</v>
      </c>
      <c r="AH23" s="73" t="n">
        <f aca="false">IF(AND(Inputs!$B$19="Yes",A23&gt;=$B$5),1,0)</f>
        <v>1</v>
      </c>
      <c r="AI23" s="22" t="n">
        <f aca="false">(AA23+AF23)*(1+IF(AH23=1,$B$70*MIN(1,(A23-$B$5+1)/3),0))</f>
        <v>39766.7088924082</v>
      </c>
      <c r="AJ23" s="75" t="n">
        <f aca="false">AE23+Z23*$B$4</f>
        <v>26.9060778853911</v>
      </c>
      <c r="AK23" s="58" t="n">
        <f aca="false">IF(AH23=1,Z23*$B$4/AJ23,1)</f>
        <v>0.369449192232086</v>
      </c>
      <c r="AL23" s="79" t="n">
        <f aca="false">IF(AH23=1,$B$4*AI23/AJ23,AB23)</f>
        <v>3451.72442292509</v>
      </c>
      <c r="AM23" s="19" t="n">
        <f aca="false">AL23*Holdings!$D$15</f>
        <v>1271891.41535944</v>
      </c>
      <c r="AN23" s="80" t="n">
        <f aca="false">AM23/Inputs!$B$14</f>
        <v>961441.843948475</v>
      </c>
      <c r="AO23" s="21" t="n">
        <f aca="false">AN23/(1+Inputs!$B$17)^B23</f>
        <v>663842.478150186</v>
      </c>
      <c r="AP23" s="20" t="n">
        <f aca="false">AL23/Inputs!$B$9</f>
        <v>9.20459846113358</v>
      </c>
    </row>
    <row r="24" customFormat="false" ht="15" hidden="false" customHeight="false" outlineLevel="0" collapsed="false">
      <c r="A24" s="73" t="n">
        <v>2042</v>
      </c>
      <c r="B24" s="73" t="n">
        <f aca="false">A24-2026</f>
        <v>16</v>
      </c>
      <c r="C24" s="74" t="n">
        <f aca="false">MIN(1,B24/Inputs!$B$27)</f>
        <v>1</v>
      </c>
      <c r="D24" s="75" t="n">
        <f aca="false">Inputs!$B$30+($B$33-Inputs!$B$30)*((1/(1+EXP(-$B$35*($A24-$B$34))))-(1/(1+EXP(-$B$35*(2026-$B$34)))))/(1-(1/(1+EXP(-$B$35*(2026-$B$34)))))</f>
        <v>18.9287820638319</v>
      </c>
      <c r="E24" s="76" t="n">
        <f aca="false">E23-J23+D24+J24</f>
        <v>188.309219649782</v>
      </c>
      <c r="F24" s="76" t="n">
        <f aca="false">MAX($B$37,Inputs!$B$32*(1+$B$36)^B24)</f>
        <v>30.0376054045886</v>
      </c>
      <c r="G24" s="24" t="n">
        <f aca="false">D24*F24</f>
        <v>568.575286422836</v>
      </c>
      <c r="H24" s="75" t="n">
        <f aca="false">Inputs!$B$34+($B$39-Inputs!$B$34)*((1/(1+EXP(-$B$41*($A24-$B$40))))-(1/(1+EXP(-$B$41*(2026-$B$40)))))/(1-(1/(1+EXP(-$B$41*(2026-$B$40)))))</f>
        <v>48.677531833551</v>
      </c>
      <c r="I24" s="24" t="n">
        <f aca="false">H24*$B$42*12/1000</f>
        <v>58.4130382002613</v>
      </c>
      <c r="J24" s="77" t="n">
        <f aca="false">Inputs!$B$35+($B$44-Inputs!$B$35)*((1/(1+EXP(-$B$46*($A24-$B$45))))-(1/(1+EXP(-$B$46*(2026-$B$45)))))/(1-(1/(1+EXP(-$B$46*(2026-$B$45)))))</f>
        <v>15.706986409058</v>
      </c>
      <c r="K24" s="77" t="n">
        <f aca="false">(J24+J23)/2</f>
        <v>15.6147302297534</v>
      </c>
      <c r="L24" s="75" t="n">
        <f aca="false">MAX($B$48,Inputs!$B$36*(1-Inputs!$B$37)^B24)</f>
        <v>1</v>
      </c>
      <c r="M24" s="24" t="n">
        <f aca="false">K24*$B$47*L24</f>
        <v>936.883813785206</v>
      </c>
      <c r="N24" s="77" t="n">
        <f aca="false">Inputs!$B$39+($B$50-Inputs!$B$39)*((1/(1+EXP(-$B$52*($A24-$B$51))))-(1/(1+EXP(-$B$52*(2026-$B$51)))))/(1-(1/(1+EXP(-$B$52*(2026-$B$51)))))</f>
        <v>11.4272936127619</v>
      </c>
      <c r="O24" s="75" t="n">
        <f aca="false">O23+N24</f>
        <v>77.9885379900649</v>
      </c>
      <c r="P24" s="76" t="n">
        <f aca="false">MAX($B$53,Inputs!$B$40*(1-Inputs!$B$41)^B24)</f>
        <v>20</v>
      </c>
      <c r="Q24" s="24" t="n">
        <f aca="false">N24*P24</f>
        <v>228.545872255238</v>
      </c>
      <c r="R24" s="22" t="n">
        <f aca="false">Inputs!$B$43+($B$55-Inputs!$B$43)*((1/(1+EXP(-$B$57*($A24-$B$56))))-(1/(1+EXP(-$B$57*(2026-$B$56)))))/(1-(1/(1+EXP(-$B$57*(2026-$B$56)))))</f>
        <v>1380.04382836091</v>
      </c>
      <c r="S24" s="73" t="n">
        <f aca="false">MAX($B$58,Inputs!$B$44*(1-Inputs!$B$45)^B24)</f>
        <v>127.498716543286</v>
      </c>
      <c r="T24" s="24" t="n">
        <f aca="false">R24*S24/1000</f>
        <v>175.953816889499</v>
      </c>
      <c r="U24" s="24" t="n">
        <f aca="false">U23*(1+$B$60*Inputs!$B$48^(B24-1))</f>
        <v>71.0991735206854</v>
      </c>
      <c r="V24" s="78" t="n">
        <f aca="false">G24+I24+M24+Q24+T24+U24</f>
        <v>2039.47100107373</v>
      </c>
      <c r="W24" s="24" t="n">
        <f aca="false">G24*(Inputs!$B$33+($B$38-Inputs!$B$33)*C24)+I24*$B$43+M24*(Inputs!$B$38+($B$49-Inputs!$B$38)*C24)+Q24*(Inputs!$B$42+($B$54-Inputs!$B$42)*C24)+T24*(Inputs!$B$46+($B$59-Inputs!$B$46)*C24)+U24*$B$61-V24*Inputs!$B$49</f>
        <v>816.486529518541</v>
      </c>
      <c r="X24" s="24" t="n">
        <f aca="false">(W24-V24*(Inputs!$B$50+Inputs!$B$51))*(1-Inputs!$B$52)</f>
        <v>483.906149234823</v>
      </c>
      <c r="Y24" s="76" t="n">
        <f aca="false">$B$62+($B$63-$B$62)*MIN(1,MAX(0,(A24-2027)/(Inputs!$B$26-2027)))</f>
        <v>20</v>
      </c>
      <c r="Z24" s="77" t="n">
        <f aca="false">Inputs!$B$11*(1+$B$64)^B24</f>
        <v>4.27764084303879</v>
      </c>
      <c r="AA24" s="22" t="n">
        <f aca="false">MIN(1,B24/Inputs!$B$25)*(W25*Y24+Inputs!$B$28)+(1-MIN(1,B24/Inputs!$B$25))*Inputs!$B$9*Inputs!$B$11</f>
        <v>16538.7938384671</v>
      </c>
      <c r="AB24" s="79" t="n">
        <f aca="false">AA24/Z24</f>
        <v>3866.33531082477</v>
      </c>
      <c r="AC24" s="22" t="n">
        <f aca="false">Inputs!$B$53+($B$65-Inputs!$B$53)*((1/(1+EXP(-$B$67*($A24-$B$66))))-(1/(1+EXP(-$B$67*(2026-$B$66)))))/(1-(1/(1+EXP(-$B$67*(2026-$B$66)))))</f>
        <v>2198.23588313135</v>
      </c>
      <c r="AD24" s="22" t="n">
        <f aca="false">AC24*(Inputs!$B$54+($B$68-Inputs!$B$54)*C24)</f>
        <v>989.206147409106</v>
      </c>
      <c r="AE24" s="75" t="n">
        <f aca="false">Inputs!$B$13*(1+$B$69)^B24</f>
        <v>17.2201338816673</v>
      </c>
      <c r="AF24" s="22" t="n">
        <f aca="false">MIN(1,B24/Inputs!$B$25)*(AD25*Y24)+(1-MIN(1,B24/Inputs!$B$25))*Inputs!$B$12*Inputs!$B$13</f>
        <v>19791.2835552643</v>
      </c>
      <c r="AG24" s="19" t="n">
        <f aca="false">AF24/AE24</f>
        <v>1149.31066687782</v>
      </c>
      <c r="AH24" s="73" t="n">
        <f aca="false">IF(AND(Inputs!$B$19="Yes",A24&gt;=$B$5),1,0)</f>
        <v>1</v>
      </c>
      <c r="AI24" s="22" t="n">
        <f aca="false">(AA24+AF24)*(1+IF(AH24=1,$B$70*MIN(1,(A24-$B$5+1)/3),0))</f>
        <v>39963.0851331045</v>
      </c>
      <c r="AJ24" s="75" t="n">
        <f aca="false">AE24+Z24*$B$4</f>
        <v>27.2102647662631</v>
      </c>
      <c r="AK24" s="58" t="n">
        <f aca="false">IF(AH24=1,Z24*$B$4/AJ24,1)</f>
        <v>0.367145669856993</v>
      </c>
      <c r="AL24" s="79" t="n">
        <f aca="false">IF(AH24=1,$B$4*AI24/AJ24,AB24)</f>
        <v>3429.99195096582</v>
      </c>
      <c r="AM24" s="19" t="n">
        <f aca="false">AL24*Holdings!$D$15</f>
        <v>1263883.43409189</v>
      </c>
      <c r="AN24" s="80" t="n">
        <f aca="false">AM24/Inputs!$B$14</f>
        <v>955388.490507133</v>
      </c>
      <c r="AO24" s="21" t="n">
        <f aca="false">AN24/(1+Inputs!$B$17)^B24</f>
        <v>643573.508385919</v>
      </c>
      <c r="AP24" s="20" t="n">
        <f aca="false">AL24/Inputs!$B$9</f>
        <v>9.14664520257553</v>
      </c>
    </row>
    <row r="25" customFormat="false" ht="15" hidden="false" customHeight="false" outlineLevel="0" collapsed="false">
      <c r="A25" s="73" t="n">
        <v>2043</v>
      </c>
      <c r="B25" s="73" t="n">
        <f aca="false">A25-2026</f>
        <v>17</v>
      </c>
      <c r="C25" s="74" t="n">
        <f aca="false">MIN(1,B25/Inputs!$B$27)</f>
        <v>1</v>
      </c>
      <c r="D25" s="75" t="n">
        <f aca="false">Inputs!$B$30+($B$33-Inputs!$B$30)*((1/(1+EXP(-$B$35*($A25-$B$34))))-(1/(1+EXP(-$B$35*(2026-$B$34)))))/(1-(1/(1+EXP(-$B$35*(2026-$B$34)))))</f>
        <v>19.2681094130878</v>
      </c>
      <c r="E25" s="76" t="n">
        <f aca="false">E24-J24+D25+J25</f>
        <v>207.691354222094</v>
      </c>
      <c r="F25" s="76" t="n">
        <f aca="false">MAX($B$37,Inputs!$B$32*(1+$B$36)^B25)</f>
        <v>30</v>
      </c>
      <c r="G25" s="24" t="n">
        <f aca="false">D25*F25</f>
        <v>578.043282392634</v>
      </c>
      <c r="H25" s="75" t="n">
        <f aca="false">Inputs!$B$34+($B$39-Inputs!$B$34)*((1/(1+EXP(-$B$41*($A25-$B$40))))-(1/(1+EXP(-$B$41*(2026-$B$40)))))/(1-(1/(1+EXP(-$B$41*(2026-$B$40)))))</f>
        <v>49.1485507985775</v>
      </c>
      <c r="I25" s="24" t="n">
        <f aca="false">H25*$B$42*12/1000</f>
        <v>58.978260958293</v>
      </c>
      <c r="J25" s="77" t="n">
        <f aca="false">Inputs!$B$35+($B$44-Inputs!$B$35)*((1/(1+EXP(-$B$46*($A25-$B$45))))-(1/(1+EXP(-$B$46*(2026-$B$45)))))/(1-(1/(1+EXP(-$B$46*(2026-$B$45)))))</f>
        <v>15.8210115682821</v>
      </c>
      <c r="K25" s="77" t="n">
        <f aca="false">(J25+J24)/2</f>
        <v>15.7639989886701</v>
      </c>
      <c r="L25" s="75" t="n">
        <f aca="false">MAX($B$48,Inputs!$B$36*(1-Inputs!$B$37)^B25)</f>
        <v>1</v>
      </c>
      <c r="M25" s="24" t="n">
        <f aca="false">K25*$B$47*L25</f>
        <v>945.839939320204</v>
      </c>
      <c r="N25" s="77" t="n">
        <f aca="false">Inputs!$B$39+($B$50-Inputs!$B$39)*((1/(1+EXP(-$B$52*($A25-$B$51))))-(1/(1+EXP(-$B$52*(2026-$B$51)))))/(1-(1/(1+EXP(-$B$52*(2026-$B$51)))))</f>
        <v>11.646030728572</v>
      </c>
      <c r="O25" s="75" t="n">
        <f aca="false">O24+N25</f>
        <v>89.6345687186369</v>
      </c>
      <c r="P25" s="76" t="n">
        <f aca="false">MAX($B$53,Inputs!$B$40*(1-Inputs!$B$41)^B25)</f>
        <v>20</v>
      </c>
      <c r="Q25" s="24" t="n">
        <f aca="false">N25*P25</f>
        <v>232.920614571441</v>
      </c>
      <c r="R25" s="22" t="n">
        <f aca="false">Inputs!$B$43+($B$55-Inputs!$B$43)*((1/(1+EXP(-$B$57*($A25-$B$56))))-(1/(1+EXP(-$B$57*(2026-$B$56)))))/(1-(1/(1+EXP(-$B$57*(2026-$B$56)))))</f>
        <v>1413.43763507981</v>
      </c>
      <c r="S25" s="73" t="n">
        <f aca="false">MAX($B$58,Inputs!$B$44*(1-Inputs!$B$45)^B25)</f>
        <v>122.398767881554</v>
      </c>
      <c r="T25" s="24" t="n">
        <f aca="false">R25*S25/1000</f>
        <v>173.003025011187</v>
      </c>
      <c r="U25" s="24" t="n">
        <f aca="false">U24*(1+$B$60*Inputs!$B$48^(B25-1))</f>
        <v>74.4386853663577</v>
      </c>
      <c r="V25" s="78" t="n">
        <f aca="false">G25+I25+M25+Q25+T25+U25</f>
        <v>2063.22380762012</v>
      </c>
      <c r="W25" s="24" t="n">
        <f aca="false">G25*(Inputs!$B$33+($B$38-Inputs!$B$33)*C25)+I25*$B$43+M25*(Inputs!$B$38+($B$49-Inputs!$B$38)*C25)+Q25*(Inputs!$B$42+($B$54-Inputs!$B$42)*C25)+T25*(Inputs!$B$46+($B$59-Inputs!$B$46)*C25)+U25*$B$61-V25*Inputs!$B$49</f>
        <v>825.054691923355</v>
      </c>
      <c r="X25" s="24" t="n">
        <f aca="false">(W25-V25*(Inputs!$B$50+Inputs!$B$51))*(1-Inputs!$B$52)</f>
        <v>488.798525817462</v>
      </c>
      <c r="Y25" s="76" t="n">
        <f aca="false">$B$62+($B$63-$B$62)*MIN(1,MAX(0,(A25-2027)/(Inputs!$B$26-2027)))</f>
        <v>20</v>
      </c>
      <c r="Z25" s="77" t="n">
        <f aca="false">Inputs!$B$11*(1+$B$64)^B25</f>
        <v>4.29902904725399</v>
      </c>
      <c r="AA25" s="22" t="n">
        <f aca="false">MIN(1,B25/Inputs!$B$25)*(W26*Y25+Inputs!$B$28)+(1-MIN(1,B25/Inputs!$B$25))*Inputs!$B$9*Inputs!$B$11</f>
        <v>16658.2570845779</v>
      </c>
      <c r="AB25" s="79" t="n">
        <f aca="false">AA25/Z25</f>
        <v>3874.88823673299</v>
      </c>
      <c r="AC25" s="22" t="n">
        <f aca="false">Inputs!$B$53+($B$65-Inputs!$B$53)*((1/(1+EXP(-$B$67*($A25-$B$66))))-(1/(1+EXP(-$B$67*(2026-$B$66)))))/(1-(1/(1+EXP(-$B$67*(2026-$B$66)))))</f>
        <v>2199.03150614048</v>
      </c>
      <c r="AD25" s="22" t="n">
        <f aca="false">AC25*(Inputs!$B$54+($B$68-Inputs!$B$54)*C25)</f>
        <v>989.564177763214</v>
      </c>
      <c r="AE25" s="75" t="n">
        <f aca="false">Inputs!$B$13*(1+$B$69)^B25</f>
        <v>17.4784358898923</v>
      </c>
      <c r="AF25" s="22" t="n">
        <f aca="false">MIN(1,B25/Inputs!$B$25)*(AD26*Y25)+(1-MIN(1,B25/Inputs!$B$25))*Inputs!$B$12*Inputs!$B$13</f>
        <v>19795.2154295536</v>
      </c>
      <c r="AG25" s="19" t="n">
        <f aca="false">AF25/AE25</f>
        <v>1132.5507359043</v>
      </c>
      <c r="AH25" s="73" t="n">
        <f aca="false">IF(AND(Inputs!$B$19="Yes",A25&gt;=$B$5),1,0)</f>
        <v>1</v>
      </c>
      <c r="AI25" s="22" t="n">
        <f aca="false">(AA25+AF25)*(1+IF(AH25=1,$B$70*MIN(1,(A25-$B$5+1)/3),0))</f>
        <v>40098.8197655447</v>
      </c>
      <c r="AJ25" s="75" t="n">
        <f aca="false">AE25+Z25*$B$4</f>
        <v>27.518517428911</v>
      </c>
      <c r="AK25" s="58" t="n">
        <f aca="false">IF(AH25=1,Z25*$B$4/AJ25,1)</f>
        <v>0.3648481995789</v>
      </c>
      <c r="AL25" s="79" t="n">
        <f aca="false">IF(AH25=1,$B$4*AI25/AJ25,AB25)</f>
        <v>3403.0898688723</v>
      </c>
      <c r="AM25" s="19" t="n">
        <f aca="false">AL25*Holdings!$D$15</f>
        <v>1253970.55488207</v>
      </c>
      <c r="AN25" s="80" t="n">
        <f aca="false">AM25/Inputs!$B$14</f>
        <v>947895.196070804</v>
      </c>
      <c r="AO25" s="21" t="n">
        <f aca="false">AN25/(1+Inputs!$B$17)^B25</f>
        <v>622952.037482477</v>
      </c>
      <c r="AP25" s="20" t="n">
        <f aca="false">AL25/Inputs!$B$9</f>
        <v>9.07490631699281</v>
      </c>
    </row>
    <row r="26" customFormat="false" ht="15" hidden="false" customHeight="false" outlineLevel="0" collapsed="false">
      <c r="A26" s="73" t="n">
        <v>2044</v>
      </c>
      <c r="B26" s="73" t="n">
        <f aca="false">A26-2026</f>
        <v>18</v>
      </c>
      <c r="C26" s="74" t="n">
        <f aca="false">MIN(1,B26/Inputs!$B$27)</f>
        <v>1</v>
      </c>
      <c r="D26" s="75" t="n">
        <f aca="false">Inputs!$B$30+($B$33-Inputs!$B$30)*((1/(1+EXP(-$B$35*($A26-$B$34))))-(1/(1+EXP(-$B$35*(2026-$B$34)))))/(1-(1/(1+EXP(-$B$35*(2026-$B$34)))))</f>
        <v>19.5029814886837</v>
      </c>
      <c r="E26" s="76" t="n">
        <f aca="false">E25-J25+D26+J26</f>
        <v>227.264290817126</v>
      </c>
      <c r="F26" s="76" t="n">
        <f aca="false">MAX($B$37,Inputs!$B$32*(1+$B$36)^B26)</f>
        <v>30</v>
      </c>
      <c r="G26" s="24" t="n">
        <f aca="false">D26*F26</f>
        <v>585.089444660512</v>
      </c>
      <c r="H26" s="75" t="n">
        <f aca="false">Inputs!$B$34+($B$39-Inputs!$B$34)*((1/(1+EXP(-$B$41*($A26-$B$40))))-(1/(1+EXP(-$B$41*(2026-$B$40)))))/(1-(1/(1+EXP(-$B$41*(2026-$B$40)))))</f>
        <v>49.4537020948037</v>
      </c>
      <c r="I26" s="24" t="n">
        <f aca="false">H26*$B$42*12/1000</f>
        <v>59.3444425137645</v>
      </c>
      <c r="J26" s="77" t="n">
        <f aca="false">Inputs!$B$35+($B$44-Inputs!$B$35)*((1/(1+EXP(-$B$46*($A26-$B$45))))-(1/(1+EXP(-$B$46*(2026-$B$45)))))/(1-(1/(1+EXP(-$B$46*(2026-$B$45)))))</f>
        <v>15.8909666746303</v>
      </c>
      <c r="K26" s="77" t="n">
        <f aca="false">(J26+J25)/2</f>
        <v>15.8559891214562</v>
      </c>
      <c r="L26" s="75" t="n">
        <f aca="false">MAX($B$48,Inputs!$B$36*(1-Inputs!$B$37)^B26)</f>
        <v>1</v>
      </c>
      <c r="M26" s="24" t="n">
        <f aca="false">K26*$B$47*L26</f>
        <v>951.359347287373</v>
      </c>
      <c r="N26" s="77" t="n">
        <f aca="false">Inputs!$B$39+($B$50-Inputs!$B$39)*((1/(1+EXP(-$B$52*($A26-$B$51))))-(1/(1+EXP(-$B$52*(2026-$B$51)))))/(1-(1/(1+EXP(-$B$52*(2026-$B$51)))))</f>
        <v>11.7828017359021</v>
      </c>
      <c r="O26" s="75" t="n">
        <f aca="false">O25+N26</f>
        <v>101.417370454539</v>
      </c>
      <c r="P26" s="76" t="n">
        <f aca="false">MAX($B$53,Inputs!$B$40*(1-Inputs!$B$41)^B26)</f>
        <v>20</v>
      </c>
      <c r="Q26" s="24" t="n">
        <f aca="false">N26*P26</f>
        <v>235.656034718042</v>
      </c>
      <c r="R26" s="22" t="n">
        <f aca="false">Inputs!$B$43+($B$55-Inputs!$B$43)*((1/(1+EXP(-$B$57*($A26-$B$56))))-(1/(1+EXP(-$B$57*(2026-$B$56)))))/(1-(1/(1+EXP(-$B$57*(2026-$B$56)))))</f>
        <v>1437.95012029653</v>
      </c>
      <c r="S26" s="73" t="n">
        <f aca="false">MAX($B$58,Inputs!$B$44*(1-Inputs!$B$45)^B26)</f>
        <v>120</v>
      </c>
      <c r="T26" s="24" t="n">
        <f aca="false">R26*S26/1000</f>
        <v>172.554014435583</v>
      </c>
      <c r="U26" s="24" t="n">
        <f aca="false">U25*(1+$B$60*Inputs!$B$48^(B26-1))</f>
        <v>77.6903075597009</v>
      </c>
      <c r="V26" s="78" t="n">
        <f aca="false">G26+I26+M26+Q26+T26+U26</f>
        <v>2081.69359117498</v>
      </c>
      <c r="W26" s="24" t="n">
        <f aca="false">G26*(Inputs!$B$33+($B$38-Inputs!$B$33)*C26)+I26*$B$43+M26*(Inputs!$B$38+($B$49-Inputs!$B$38)*C26)+Q26*(Inputs!$B$42+($B$54-Inputs!$B$42)*C26)+T26*(Inputs!$B$46+($B$59-Inputs!$B$46)*C26)+U26*$B$61-V26*Inputs!$B$49</f>
        <v>831.027854228896</v>
      </c>
      <c r="X26" s="24" t="n">
        <f aca="false">(W26-V26*(Inputs!$B$50+Inputs!$B$51))*(1-Inputs!$B$52)</f>
        <v>492.058211138005</v>
      </c>
      <c r="Y26" s="76" t="n">
        <f aca="false">$B$62+($B$63-$B$62)*MIN(1,MAX(0,(A26-2027)/(Inputs!$B$26-2027)))</f>
        <v>20</v>
      </c>
      <c r="Z26" s="77" t="n">
        <f aca="false">Inputs!$B$11*(1+$B$64)^B26</f>
        <v>4.32052419249026</v>
      </c>
      <c r="AA26" s="22" t="n">
        <f aca="false">MIN(1,B26/Inputs!$B$25)*(W27*Y26+Inputs!$B$28)+(1-MIN(1,B26/Inputs!$B$25))*Inputs!$B$9*Inputs!$B$11</f>
        <v>16747.4690806121</v>
      </c>
      <c r="AB26" s="79" t="n">
        <f aca="false">AA26/Z26</f>
        <v>3876.25860531502</v>
      </c>
      <c r="AC26" s="22" t="n">
        <f aca="false">Inputs!$B$53+($B$65-Inputs!$B$53)*((1/(1+EXP(-$B$67*($A26-$B$66))))-(1/(1+EXP(-$B$67*(2026-$B$66)))))/(1-(1/(1+EXP(-$B$67*(2026-$B$66)))))</f>
        <v>2199.46838106151</v>
      </c>
      <c r="AD26" s="22" t="n">
        <f aca="false">AC26*(Inputs!$B$54+($B$68-Inputs!$B$54)*C26)</f>
        <v>989.760771477681</v>
      </c>
      <c r="AE26" s="75" t="n">
        <f aca="false">Inputs!$B$13*(1+$B$69)^B26</f>
        <v>17.7406124282407</v>
      </c>
      <c r="AF26" s="22" t="n">
        <f aca="false">MIN(1,B26/Inputs!$B$25)*(AD27*Y26)+(1-MIN(1,B26/Inputs!$B$25))*Inputs!$B$12*Inputs!$B$13</f>
        <v>19797.3739056882</v>
      </c>
      <c r="AG26" s="19" t="n">
        <f aca="false">AF26/AE26</f>
        <v>1115.93520154769</v>
      </c>
      <c r="AH26" s="73" t="n">
        <f aca="false">IF(AND(Inputs!$B$19="Yes",A26&gt;=$B$5),1,0)</f>
        <v>1</v>
      </c>
      <c r="AI26" s="22" t="n">
        <f aca="false">(AA26+AF26)*(1+IF(AH26=1,$B$70*MIN(1,(A26-$B$5+1)/3),0))</f>
        <v>40199.3272849303</v>
      </c>
      <c r="AJ26" s="75" t="n">
        <f aca="false">AE26+Z26*$B$4</f>
        <v>27.8308943749545</v>
      </c>
      <c r="AK26" s="58" t="n">
        <f aca="false">IF(AH26=1,Z26*$B$4/AJ26,1)</f>
        <v>0.362556869742364</v>
      </c>
      <c r="AL26" s="79" t="n">
        <f aca="false">IF(AH26=1,$B$4*AI26/AJ26,AB26)</f>
        <v>3373.32731327045</v>
      </c>
      <c r="AM26" s="19" t="n">
        <f aca="false">AL26*Holdings!$D$15</f>
        <v>1243003.64839389</v>
      </c>
      <c r="AN26" s="80" t="n">
        <f aca="false">AM26/Inputs!$B$14</f>
        <v>939605.14656731</v>
      </c>
      <c r="AO26" s="21" t="n">
        <f aca="false">AN26/(1+Inputs!$B$17)^B26</f>
        <v>602442.788220368</v>
      </c>
      <c r="AP26" s="20" t="n">
        <f aca="false">AL26/Inputs!$B$9</f>
        <v>8.99553950205453</v>
      </c>
    </row>
    <row r="27" customFormat="false" ht="15" hidden="false" customHeight="false" outlineLevel="0" collapsed="false">
      <c r="A27" s="73" t="n">
        <v>2045</v>
      </c>
      <c r="B27" s="73" t="n">
        <f aca="false">A27-2026</f>
        <v>19</v>
      </c>
      <c r="C27" s="74" t="n">
        <f aca="false">MIN(1,B27/Inputs!$B$27)</f>
        <v>1</v>
      </c>
      <c r="D27" s="75" t="n">
        <f aca="false">Inputs!$B$30+($B$33-Inputs!$B$30)*((1/(1+EXP(-$B$35*($A27-$B$34))))-(1/(1+EXP(-$B$35*(2026-$B$34)))))/(1-(1/(1+EXP(-$B$35*(2026-$B$34)))))</f>
        <v>19.66389136149</v>
      </c>
      <c r="E27" s="76" t="n">
        <f aca="false">E26-J26+D27+J27</f>
        <v>246.970908835139</v>
      </c>
      <c r="F27" s="76" t="n">
        <f aca="false">MAX($B$37,Inputs!$B$32*(1+$B$36)^B27)</f>
        <v>30</v>
      </c>
      <c r="G27" s="24" t="n">
        <f aca="false">D27*F27</f>
        <v>589.916740844699</v>
      </c>
      <c r="H27" s="75" t="n">
        <f aca="false">Inputs!$B$34+($B$39-Inputs!$B$34)*((1/(1+EXP(-$B$41*($A27-$B$40))))-(1/(1+EXP(-$B$41*(2026-$B$40)))))/(1-(1/(1+EXP(-$B$41*(2026-$B$40)))))</f>
        <v>49.6502726865898</v>
      </c>
      <c r="I27" s="24" t="n">
        <f aca="false">H27*$B$42*12/1000</f>
        <v>59.5803272239078</v>
      </c>
      <c r="J27" s="77" t="n">
        <f aca="false">Inputs!$B$35+($B$44-Inputs!$B$35)*((1/(1+EXP(-$B$46*($A27-$B$45))))-(1/(1+EXP(-$B$46*(2026-$B$45)))))/(1-(1/(1+EXP(-$B$46*(2026-$B$45)))))</f>
        <v>15.9336933311533</v>
      </c>
      <c r="K27" s="77" t="n">
        <f aca="false">(J27+J26)/2</f>
        <v>15.9123300028918</v>
      </c>
      <c r="L27" s="75" t="n">
        <f aca="false">MAX($B$48,Inputs!$B$36*(1-Inputs!$B$37)^B27)</f>
        <v>1</v>
      </c>
      <c r="M27" s="24" t="n">
        <f aca="false">K27*$B$47*L27</f>
        <v>954.73980017351</v>
      </c>
      <c r="N27" s="77" t="n">
        <f aca="false">Inputs!$B$39+($B$50-Inputs!$B$39)*((1/(1+EXP(-$B$52*($A27-$B$51))))-(1/(1+EXP(-$B$52*(2026-$B$51)))))/(1-(1/(1+EXP(-$B$52*(2026-$B$51)))))</f>
        <v>11.8673236400477</v>
      </c>
      <c r="O27" s="75" t="n">
        <f aca="false">O26+N27</f>
        <v>113.284694094587</v>
      </c>
      <c r="P27" s="76" t="n">
        <f aca="false">MAX($B$53,Inputs!$B$40*(1-Inputs!$B$41)^B27)</f>
        <v>20</v>
      </c>
      <c r="Q27" s="24" t="n">
        <f aca="false">N27*P27</f>
        <v>237.346472800954</v>
      </c>
      <c r="R27" s="22" t="n">
        <f aca="false">Inputs!$B$43+($B$55-Inputs!$B$43)*((1/(1+EXP(-$B$57*($A27-$B$56))))-(1/(1+EXP(-$B$57*(2026-$B$56)))))/(1-(1/(1+EXP(-$B$57*(2026-$B$56)))))</f>
        <v>1455.73706948007</v>
      </c>
      <c r="S27" s="73" t="n">
        <f aca="false">MAX($B$58,Inputs!$B$44*(1-Inputs!$B$45)^B27)</f>
        <v>120</v>
      </c>
      <c r="T27" s="24" t="n">
        <f aca="false">R27*S27/1000</f>
        <v>174.688448337609</v>
      </c>
      <c r="U27" s="24" t="n">
        <f aca="false">U26*(1+$B$60*Inputs!$B$48^(B27-1))</f>
        <v>80.8464106012001</v>
      </c>
      <c r="V27" s="78" t="n">
        <f aca="false">G27+I27+M27+Q27+T27+U27</f>
        <v>2097.11819998188</v>
      </c>
      <c r="W27" s="24" t="n">
        <f aca="false">G27*(Inputs!$B$33+($B$38-Inputs!$B$33)*C27)+I27*$B$43+M27*(Inputs!$B$38+($B$49-Inputs!$B$38)*C27)+Q27*(Inputs!$B$42+($B$54-Inputs!$B$42)*C27)+T27*(Inputs!$B$46+($B$59-Inputs!$B$46)*C27)+U27*$B$61-V27*Inputs!$B$49</f>
        <v>835.488454030604</v>
      </c>
      <c r="X27" s="24" t="n">
        <f aca="false">(W27-V27*(Inputs!$B$50+Inputs!$B$51))*(1-Inputs!$B$52)</f>
        <v>494.363540885609</v>
      </c>
      <c r="Y27" s="76" t="n">
        <f aca="false">$B$62+($B$63-$B$62)*MIN(1,MAX(0,(A27-2027)/(Inputs!$B$26-2027)))</f>
        <v>20</v>
      </c>
      <c r="Z27" s="77" t="n">
        <f aca="false">Inputs!$B$11*(1+$B$64)^B27</f>
        <v>4.34212681345271</v>
      </c>
      <c r="AA27" s="22" t="n">
        <f aca="false">MIN(1,B27/Inputs!$B$25)*(W28*Y27+Inputs!$B$28)+(1-MIN(1,B27/Inputs!$B$25))*Inputs!$B$9*Inputs!$B$11</f>
        <v>16807.1534688403</v>
      </c>
      <c r="AB27" s="79" t="n">
        <f aca="false">AA27/Z27</f>
        <v>3870.71916388269</v>
      </c>
      <c r="AC27" s="22" t="n">
        <f aca="false">Inputs!$B$53+($B$65-Inputs!$B$53)*((1/(1+EXP(-$B$67*($A27-$B$66))))-(1/(1+EXP(-$B$67*(2026-$B$66)))))/(1-(1/(1+EXP(-$B$67*(2026-$B$66)))))</f>
        <v>2199.70821174313</v>
      </c>
      <c r="AD27" s="22" t="n">
        <f aca="false">AC27*(Inputs!$B$54+($B$68-Inputs!$B$54)*C27)</f>
        <v>989.86869528441</v>
      </c>
      <c r="AE27" s="75" t="n">
        <f aca="false">Inputs!$B$13*(1+$B$69)^B27</f>
        <v>18.0067216146643</v>
      </c>
      <c r="AF27" s="22" t="n">
        <f aca="false">MIN(1,B27/Inputs!$B$25)*(AD28*Y27)+(1-MIN(1,B27/Inputs!$B$25))*Inputs!$B$12*Inputs!$B$13</f>
        <v>19798.5586886404</v>
      </c>
      <c r="AG27" s="19" t="n">
        <f aca="false">AF27/AE27</f>
        <v>1099.50934502796</v>
      </c>
      <c r="AH27" s="73" t="n">
        <f aca="false">IF(AND(Inputs!$B$19="Yes",A27&gt;=$B$5),1,0)</f>
        <v>1</v>
      </c>
      <c r="AI27" s="22" t="n">
        <f aca="false">(AA27+AF27)*(1+IF(AH27=1,$B$70*MIN(1,(A27-$B$5+1)/3),0))</f>
        <v>40266.2833732287</v>
      </c>
      <c r="AJ27" s="75" t="n">
        <f aca="false">AE27+Z27*$B$4</f>
        <v>28.1474549711117</v>
      </c>
      <c r="AK27" s="58" t="n">
        <f aca="false">IF(AH27=1,Z27*$B$4/AJ27,1)</f>
        <v>0.360271767620024</v>
      </c>
      <c r="AL27" s="79" t="n">
        <f aca="false">IF(AH27=1,$B$4*AI27/AJ27,AB27)</f>
        <v>3340.94458996847</v>
      </c>
      <c r="AM27" s="19" t="n">
        <f aca="false">AL27*Holdings!$D$15</f>
        <v>1231071.26251158</v>
      </c>
      <c r="AN27" s="80" t="n">
        <f aca="false">AM27/Inputs!$B$14</f>
        <v>930585.276673659</v>
      </c>
      <c r="AO27" s="21" t="n">
        <f aca="false">AN27/(1+Inputs!$B$17)^B27</f>
        <v>582106.883061334</v>
      </c>
      <c r="AP27" s="20" t="n">
        <f aca="false">AL27/Inputs!$B$9</f>
        <v>8.90918557324926</v>
      </c>
    </row>
    <row r="28" customFormat="false" ht="15" hidden="false" customHeight="false" outlineLevel="0" collapsed="false">
      <c r="A28" s="73" t="n">
        <v>2046</v>
      </c>
      <c r="B28" s="73" t="n">
        <f aca="false">A28-2026</f>
        <v>20</v>
      </c>
      <c r="C28" s="74" t="n">
        <f aca="false">MIN(1,B28/Inputs!$B$27)</f>
        <v>1</v>
      </c>
      <c r="D28" s="75" t="n">
        <f aca="false">Inputs!$B$30+($B$33-Inputs!$B$30)*((1/(1+EXP(-$B$35*($A28-$B$34))))-(1/(1+EXP(-$B$35*(2026-$B$34)))))/(1-(1/(1+EXP(-$B$35*(2026-$B$34)))))</f>
        <v>19.7733557109356</v>
      </c>
      <c r="E28" s="76" t="n">
        <f aca="false">E27-J27+D28+J28</f>
        <v>266.770289677471</v>
      </c>
      <c r="F28" s="76" t="n">
        <f aca="false">MAX($B$37,Inputs!$B$32*(1+$B$36)^B28)</f>
        <v>30</v>
      </c>
      <c r="G28" s="24" t="n">
        <f aca="false">D28*F28</f>
        <v>593.200671328067</v>
      </c>
      <c r="H28" s="75" t="n">
        <f aca="false">Inputs!$B$34+($B$39-Inputs!$B$34)*((1/(1+EXP(-$B$41*($A28-$B$40))))-(1/(1+EXP(-$B$41*(2026-$B$40)))))/(1-(1/(1+EXP(-$B$41*(2026-$B$40)))))</f>
        <v>49.7764342008874</v>
      </c>
      <c r="I28" s="24" t="n">
        <f aca="false">H28*$B$42*12/1000</f>
        <v>59.7317210410649</v>
      </c>
      <c r="J28" s="77" t="n">
        <f aca="false">Inputs!$B$35+($B$44-Inputs!$B$35)*((1/(1+EXP(-$B$46*($A28-$B$45))))-(1/(1+EXP(-$B$46*(2026-$B$45)))))/(1-(1/(1+EXP(-$B$46*(2026-$B$45)))))</f>
        <v>15.95971846255</v>
      </c>
      <c r="K28" s="77" t="n">
        <f aca="false">(J28+J27)/2</f>
        <v>15.9467058968517</v>
      </c>
      <c r="L28" s="75" t="n">
        <f aca="false">MAX($B$48,Inputs!$B$36*(1-Inputs!$B$37)^B28)</f>
        <v>1</v>
      </c>
      <c r="M28" s="24" t="n">
        <f aca="false">K28*$B$47*L28</f>
        <v>956.8023538111</v>
      </c>
      <c r="N28" s="77" t="n">
        <f aca="false">Inputs!$B$39+($B$50-Inputs!$B$39)*((1/(1+EXP(-$B$52*($A28-$B$51))))-(1/(1+EXP(-$B$52*(2026-$B$51)))))/(1-(1/(1+EXP(-$B$52*(2026-$B$51)))))</f>
        <v>11.919178325746</v>
      </c>
      <c r="O28" s="75" t="n">
        <f aca="false">O27+N28</f>
        <v>125.203872420333</v>
      </c>
      <c r="P28" s="76" t="n">
        <f aca="false">MAX($B$53,Inputs!$B$40*(1-Inputs!$B$41)^B28)</f>
        <v>20</v>
      </c>
      <c r="Q28" s="24" t="n">
        <f aca="false">N28*P28</f>
        <v>238.383566514919</v>
      </c>
      <c r="R28" s="22" t="n">
        <f aca="false">Inputs!$B$43+($B$55-Inputs!$B$43)*((1/(1+EXP(-$B$57*($A28-$B$56))))-(1/(1+EXP(-$B$57*(2026-$B$56)))))/(1-(1/(1+EXP(-$B$57*(2026-$B$56)))))</f>
        <v>1468.53608046611</v>
      </c>
      <c r="S28" s="73" t="n">
        <f aca="false">MAX($B$58,Inputs!$B$44*(1-Inputs!$B$45)^B28)</f>
        <v>120</v>
      </c>
      <c r="T28" s="24" t="n">
        <f aca="false">R28*S28/1000</f>
        <v>176.224329655933</v>
      </c>
      <c r="U28" s="24" t="n">
        <f aca="false">U27*(1+$B$60*Inputs!$B$48^(B28-1))</f>
        <v>83.900825465537</v>
      </c>
      <c r="V28" s="78" t="n">
        <f aca="false">G28+I28+M28+Q28+T28+U28</f>
        <v>2108.24346781662</v>
      </c>
      <c r="W28" s="24" t="n">
        <f aca="false">G28*(Inputs!$B$33+($B$38-Inputs!$B$33)*C28)+I28*$B$43+M28*(Inputs!$B$38+($B$49-Inputs!$B$38)*C28)+Q28*(Inputs!$B$42+($B$54-Inputs!$B$42)*C28)+T28*(Inputs!$B$46+($B$59-Inputs!$B$46)*C28)+U28*$B$61-V28*Inputs!$B$49</f>
        <v>838.472673442013</v>
      </c>
      <c r="X28" s="24" t="n">
        <f aca="false">(W28-V28*(Inputs!$B$50+Inputs!$B$51))*(1-Inputs!$B$52)</f>
        <v>495.842178061677</v>
      </c>
      <c r="Y28" s="76" t="n">
        <f aca="false">$B$62+($B$63-$B$62)*MIN(1,MAX(0,(A28-2027)/(Inputs!$B$26-2027)))</f>
        <v>20</v>
      </c>
      <c r="Z28" s="77" t="n">
        <f aca="false">Inputs!$B$11*(1+$B$64)^B28</f>
        <v>4.36383744751997</v>
      </c>
      <c r="AA28" s="22" t="n">
        <f aca="false">MIN(1,B28/Inputs!$B$25)*(W29*Y28+Inputs!$B$28)+(1-MIN(1,B28/Inputs!$B$25))*Inputs!$B$9*Inputs!$B$11</f>
        <v>16847.8762673705</v>
      </c>
      <c r="AB28" s="79" t="n">
        <f aca="false">AA28/Z28</f>
        <v>3860.79373257712</v>
      </c>
      <c r="AC28" s="22" t="n">
        <f aca="false">Inputs!$B$53+($B$65-Inputs!$B$53)*((1/(1+EXP(-$B$67*($A28-$B$66))))-(1/(1+EXP(-$B$67*(2026-$B$66)))))/(1-(1/(1+EXP(-$B$67*(2026-$B$66)))))</f>
        <v>2199.83985429337</v>
      </c>
      <c r="AD28" s="22" t="n">
        <f aca="false">AC28*(Inputs!$B$54+($B$68-Inputs!$B$54)*C28)</f>
        <v>989.927934432018</v>
      </c>
      <c r="AE28" s="75" t="n">
        <f aca="false">Inputs!$B$13*(1+$B$69)^B28</f>
        <v>18.2768224388842</v>
      </c>
      <c r="AF28" s="22" t="n">
        <f aca="false">MIN(1,B28/Inputs!$B$25)*(AD29*Y28)+(1-MIN(1,B28/Inputs!$B$25))*Inputs!$B$12*Inputs!$B$13</f>
        <v>19799.2089673835</v>
      </c>
      <c r="AG28" s="19" t="n">
        <f aca="false">AF28/AE28</f>
        <v>1083.29601787127</v>
      </c>
      <c r="AH28" s="73" t="n">
        <f aca="false">IF(AND(Inputs!$B$19="Yes",A28&gt;=$B$5),1,0)</f>
        <v>1</v>
      </c>
      <c r="AI28" s="22" t="n">
        <f aca="false">(AA28+AF28)*(1+IF(AH28=1,$B$70*MIN(1,(A28-$B$5+1)/3),0))</f>
        <v>40311.7937582294</v>
      </c>
      <c r="AJ28" s="75" t="n">
        <f aca="false">AE28+Z28*$B$4</f>
        <v>28.4682594621139</v>
      </c>
      <c r="AK28" s="58" t="n">
        <f aca="false">IF(AH28=1,Z28*$B$4/AJ28,1)</f>
        <v>0.357992979401942</v>
      </c>
      <c r="AL28" s="79" t="n">
        <f aca="false">IF(AH28=1,$B$4*AI28/AJ28,AB28)</f>
        <v>3307.02949550668</v>
      </c>
      <c r="AM28" s="19" t="n">
        <f aca="false">AL28*Holdings!$D$15</f>
        <v>1218574.2285043</v>
      </c>
      <c r="AN28" s="80" t="n">
        <f aca="false">AM28/Inputs!$B$14</f>
        <v>921138.580772774</v>
      </c>
      <c r="AO28" s="21" t="n">
        <f aca="false">AN28/(1+Inputs!$B$17)^B28</f>
        <v>562144.110191846</v>
      </c>
      <c r="AP28" s="20" t="n">
        <f aca="false">AL28/Inputs!$B$9</f>
        <v>8.81874532135115</v>
      </c>
    </row>
    <row r="29" customFormat="false" ht="15" hidden="false" customHeight="false" outlineLevel="0" collapsed="false">
      <c r="A29" s="81" t="n">
        <v>2047</v>
      </c>
      <c r="B29" s="81" t="n">
        <f aca="false">A29-2026</f>
        <v>21</v>
      </c>
      <c r="C29" s="82" t="n">
        <f aca="false">MIN(1,B29/Inputs!$B$27)</f>
        <v>1</v>
      </c>
      <c r="D29" s="83" t="n">
        <f aca="false">Inputs!$B$30+($B$33-Inputs!$B$30)*((1/(1+EXP(-$B$35*($A29-$B$34))))-(1/(1+EXP(-$B$35*(2026-$B$34)))))/(1-(1/(1+EXP(-$B$35*(2026-$B$34)))))</f>
        <v>19.847465881761</v>
      </c>
      <c r="E29" s="84" t="n">
        <f aca="false">E28-J28+D29+J29</f>
        <v>286.633581316135</v>
      </c>
      <c r="F29" s="84" t="n">
        <f aca="false">MAX($B$37,Inputs!$B$32*(1+$B$36)^B29)</f>
        <v>30</v>
      </c>
      <c r="G29" s="85" t="n">
        <f aca="false">D29*F29</f>
        <v>595.423976452829</v>
      </c>
      <c r="H29" s="83" t="n">
        <f aca="false">Inputs!$B$34+($B$39-Inputs!$B$34)*((1/(1+EXP(-$B$41*($A29-$B$40))))-(1/(1+EXP(-$B$41*(2026-$B$40)))))/(1-(1/(1+EXP(-$B$41*(2026-$B$40)))))</f>
        <v>49.8572155107198</v>
      </c>
      <c r="I29" s="85" t="n">
        <f aca="false">H29*$B$42*12/1000</f>
        <v>59.8286586128638</v>
      </c>
      <c r="J29" s="86" t="n">
        <f aca="false">Inputs!$B$35+($B$44-Inputs!$B$35)*((1/(1+EXP(-$B$46*($A29-$B$45))))-(1/(1+EXP(-$B$46*(2026-$B$45)))))/(1-(1/(1+EXP(-$B$46*(2026-$B$45)))))</f>
        <v>15.975544219453</v>
      </c>
      <c r="K29" s="86" t="n">
        <f aca="false">(J29+J28)/2</f>
        <v>15.9676313410015</v>
      </c>
      <c r="L29" s="83" t="n">
        <f aca="false">MAX($B$48,Inputs!$B$36*(1-Inputs!$B$37)^B29)</f>
        <v>1</v>
      </c>
      <c r="M29" s="85" t="n">
        <f aca="false">K29*$B$47*L29</f>
        <v>958.05788046009</v>
      </c>
      <c r="N29" s="86" t="n">
        <f aca="false">Inputs!$B$39+($B$50-Inputs!$B$39)*((1/(1+EXP(-$B$52*($A29-$B$51))))-(1/(1+EXP(-$B$52*(2026-$B$51)))))/(1-(1/(1+EXP(-$B$52*(2026-$B$51)))))</f>
        <v>11.9508497427532</v>
      </c>
      <c r="O29" s="83" t="n">
        <f aca="false">O28+N29</f>
        <v>137.154722163086</v>
      </c>
      <c r="P29" s="84" t="n">
        <f aca="false">MAX($B$53,Inputs!$B$40*(1-Inputs!$B$41)^B29)</f>
        <v>20</v>
      </c>
      <c r="Q29" s="85" t="n">
        <f aca="false">N29*P29</f>
        <v>239.016994855064</v>
      </c>
      <c r="R29" s="87" t="n">
        <f aca="false">Inputs!$B$43+($B$55-Inputs!$B$43)*((1/(1+EXP(-$B$57*($A29-$B$56))))-(1/(1+EXP(-$B$57*(2026-$B$56)))))/(1-(1/(1+EXP(-$B$57*(2026-$B$56)))))</f>
        <v>1477.69047521884</v>
      </c>
      <c r="S29" s="81" t="n">
        <f aca="false">MAX($B$58,Inputs!$B$44*(1-Inputs!$B$45)^B29)</f>
        <v>120</v>
      </c>
      <c r="T29" s="85" t="n">
        <f aca="false">R29*S29/1000</f>
        <v>177.322857026261</v>
      </c>
      <c r="U29" s="85" t="n">
        <f aca="false">U28*(1+$B$60*Inputs!$B$48^(B29-1))</f>
        <v>86.8487506939983</v>
      </c>
      <c r="V29" s="78" t="n">
        <f aca="false">G29+I29+M29+Q29+T29+U29</f>
        <v>2116.49911810111</v>
      </c>
      <c r="W29" s="85" t="n">
        <f aca="false">G29*(Inputs!$B$33+($B$38-Inputs!$B$33)*C29)+I29*$B$43+M29*(Inputs!$B$38+($B$49-Inputs!$B$38)*C29)+Q29*(Inputs!$B$42+($B$54-Inputs!$B$42)*C29)+T29*(Inputs!$B$46+($B$59-Inputs!$B$46)*C29)+U29*$B$61-V29*Inputs!$B$49</f>
        <v>840.508813368523</v>
      </c>
      <c r="X29" s="85" t="n">
        <f aca="false">(W29-V29*(Inputs!$B$50+Inputs!$B$51))*(1-Inputs!$B$52)</f>
        <v>496.798532231146</v>
      </c>
      <c r="Y29" s="84" t="n">
        <f aca="false">$B$62+($B$63-$B$62)*MIN(1,MAX(0,(A29-2027)/(Inputs!$B$26-2027)))</f>
        <v>20</v>
      </c>
      <c r="Z29" s="86" t="n">
        <f aca="false">Inputs!$B$11*(1+$B$64)^B29</f>
        <v>4.38565663475757</v>
      </c>
      <c r="AA29" s="88"/>
      <c r="AB29" s="4"/>
      <c r="AC29" s="87" t="n">
        <f aca="false">Inputs!$B$53+($B$65-Inputs!$B$53)*((1/(1+EXP(-$B$67*($A29-$B$66))))-(1/(1+EXP(-$B$67*(2026-$B$66)))))/(1-(1/(1+EXP(-$B$67*(2026-$B$66)))))</f>
        <v>2199.91210748706</v>
      </c>
      <c r="AD29" s="87" t="n">
        <f aca="false">AC29*(Inputs!$B$54+($B$68-Inputs!$B$54)*C29)</f>
        <v>989.960448369176</v>
      </c>
      <c r="AE29" s="83" t="n">
        <f aca="false">Inputs!$B$13*(1+$B$69)^B29</f>
        <v>18.5509747754675</v>
      </c>
      <c r="AF29" s="88"/>
      <c r="AG29" s="88"/>
      <c r="AH29" s="88"/>
      <c r="AI29" s="88"/>
      <c r="AJ29" s="88"/>
      <c r="AK29" s="88"/>
      <c r="AL29" s="4"/>
      <c r="AM29" s="88"/>
      <c r="AN29" s="4"/>
      <c r="AO29" s="88"/>
      <c r="AP29" s="88"/>
    </row>
    <row r="31" customFormat="false" ht="15" hidden="false" customHeight="false" outlineLevel="0" collapsed="false">
      <c r="D31" s="25" t="s">
        <v>345</v>
      </c>
    </row>
    <row r="32" customFormat="false" ht="15" hidden="false" customHeight="false" outlineLevel="0" collapsed="false">
      <c r="A32" s="4" t="s">
        <v>346</v>
      </c>
    </row>
    <row r="33" customFormat="false" ht="15" hidden="false" customHeight="false" outlineLevel="0" collapsed="false">
      <c r="A33" s="1" t="s">
        <v>194</v>
      </c>
      <c r="B33" s="89" t="n">
        <f aca="false">INDEX(Inputs!$C$66:$E$66,$B$2)</f>
        <v>20</v>
      </c>
    </row>
    <row r="34" customFormat="false" ht="15" hidden="false" customHeight="false" outlineLevel="0" collapsed="false">
      <c r="A34" s="1" t="s">
        <v>197</v>
      </c>
      <c r="B34" s="72" t="n">
        <f aca="false">INDEX(Inputs!$C$67:$E$67,$B$2)</f>
        <v>2035</v>
      </c>
    </row>
    <row r="35" customFormat="false" ht="15" hidden="false" customHeight="false" outlineLevel="0" collapsed="false">
      <c r="A35" s="1" t="s">
        <v>198</v>
      </c>
      <c r="B35" s="90" t="n">
        <f aca="false">INDEX(Inputs!$C$68:$E$68,$B$2)</f>
        <v>0.4</v>
      </c>
    </row>
    <row r="36" customFormat="false" ht="15" hidden="false" customHeight="false" outlineLevel="0" collapsed="false">
      <c r="A36" s="1" t="s">
        <v>199</v>
      </c>
      <c r="B36" s="91" t="n">
        <f aca="false">INDEX(Inputs!$C$69:$E$69,$B$2)</f>
        <v>-0.02</v>
      </c>
    </row>
    <row r="37" customFormat="false" ht="15" hidden="false" customHeight="false" outlineLevel="0" collapsed="false">
      <c r="A37" s="1" t="s">
        <v>201</v>
      </c>
      <c r="B37" s="89" t="n">
        <f aca="false">INDEX(Inputs!$C$70:$E$70,$B$2)</f>
        <v>30</v>
      </c>
    </row>
    <row r="38" customFormat="false" ht="15" hidden="false" customHeight="false" outlineLevel="0" collapsed="false">
      <c r="A38" s="1" t="s">
        <v>202</v>
      </c>
      <c r="B38" s="91" t="n">
        <f aca="false">INDEX(Inputs!$C$71:$E$71,$B$2)</f>
        <v>0.18</v>
      </c>
    </row>
    <row r="39" customFormat="false" ht="15" hidden="false" customHeight="false" outlineLevel="0" collapsed="false">
      <c r="A39" s="1" t="s">
        <v>204</v>
      </c>
      <c r="B39" s="89" t="n">
        <f aca="false">INDEX(Inputs!$C$73:$E$73,$B$2)</f>
        <v>50</v>
      </c>
    </row>
    <row r="40" customFormat="false" ht="15" hidden="false" customHeight="false" outlineLevel="0" collapsed="false">
      <c r="A40" s="1" t="s">
        <v>206</v>
      </c>
      <c r="B40" s="72" t="n">
        <f aca="false">INDEX(Inputs!$C$74:$E$74,$B$2)</f>
        <v>2034</v>
      </c>
    </row>
    <row r="41" customFormat="false" ht="15" hidden="false" customHeight="false" outlineLevel="0" collapsed="false">
      <c r="A41" s="1" t="s">
        <v>207</v>
      </c>
      <c r="B41" s="90" t="n">
        <f aca="false">INDEX(Inputs!$C$75:$E$75,$B$2)</f>
        <v>0.45</v>
      </c>
    </row>
    <row r="42" customFormat="false" ht="15" hidden="false" customHeight="false" outlineLevel="0" collapsed="false">
      <c r="A42" s="1" t="s">
        <v>208</v>
      </c>
      <c r="B42" s="92" t="n">
        <f aca="false">INDEX(Inputs!$C$76:$E$76,$B$2)</f>
        <v>100</v>
      </c>
    </row>
    <row r="43" customFormat="false" ht="15" hidden="false" customHeight="false" outlineLevel="0" collapsed="false">
      <c r="A43" s="1" t="s">
        <v>211</v>
      </c>
      <c r="B43" s="91" t="n">
        <f aca="false">INDEX(Inputs!$C$77:$E$77,$B$2)</f>
        <v>0.8</v>
      </c>
    </row>
    <row r="44" customFormat="false" ht="15" hidden="false" customHeight="false" outlineLevel="0" collapsed="false">
      <c r="A44" s="1" t="s">
        <v>214</v>
      </c>
      <c r="B44" s="89" t="n">
        <f aca="false">INDEX(Inputs!$C$79:$E$79,$B$2)</f>
        <v>16</v>
      </c>
    </row>
    <row r="45" customFormat="false" ht="15" hidden="false" customHeight="false" outlineLevel="0" collapsed="false">
      <c r="A45" s="1" t="s">
        <v>217</v>
      </c>
      <c r="B45" s="72" t="n">
        <f aca="false">INDEX(Inputs!$C$80:$E$80,$B$2)</f>
        <v>2034</v>
      </c>
    </row>
    <row r="46" customFormat="false" ht="15" hidden="false" customHeight="false" outlineLevel="0" collapsed="false">
      <c r="A46" s="1" t="s">
        <v>218</v>
      </c>
      <c r="B46" s="90" t="n">
        <f aca="false">INDEX(Inputs!$C$81:$E$81,$B$2)</f>
        <v>0.5</v>
      </c>
    </row>
    <row r="47" customFormat="false" ht="15" hidden="false" customHeight="false" outlineLevel="0" collapsed="false">
      <c r="A47" s="1" t="s">
        <v>219</v>
      </c>
      <c r="B47" s="89" t="n">
        <f aca="false">INDEX(Inputs!$C$82:$E$82,$B$2)</f>
        <v>60</v>
      </c>
    </row>
    <row r="48" customFormat="false" ht="15" hidden="false" customHeight="false" outlineLevel="0" collapsed="false">
      <c r="A48" s="1" t="s">
        <v>221</v>
      </c>
      <c r="B48" s="67" t="n">
        <f aca="false">INDEX(Inputs!$C$83:$E$83,$B$2)</f>
        <v>1</v>
      </c>
    </row>
    <row r="49" customFormat="false" ht="15" hidden="false" customHeight="false" outlineLevel="0" collapsed="false">
      <c r="A49" s="1" t="s">
        <v>223</v>
      </c>
      <c r="B49" s="91" t="n">
        <f aca="false">INDEX(Inputs!$C$84:$E$84,$B$2)</f>
        <v>0.6</v>
      </c>
    </row>
    <row r="50" customFormat="false" ht="15" hidden="false" customHeight="false" outlineLevel="0" collapsed="false">
      <c r="A50" s="1" t="s">
        <v>225</v>
      </c>
      <c r="B50" s="89" t="n">
        <f aca="false">INDEX(Inputs!$C$86:$E$86,$B$2)</f>
        <v>12</v>
      </c>
    </row>
    <row r="51" customFormat="false" ht="15" hidden="false" customHeight="false" outlineLevel="0" collapsed="false">
      <c r="A51" s="1" t="s">
        <v>227</v>
      </c>
      <c r="B51" s="72" t="n">
        <f aca="false">INDEX(Inputs!$C$87:$E$87,$B$2)</f>
        <v>2036</v>
      </c>
    </row>
    <row r="52" customFormat="false" ht="15" hidden="false" customHeight="false" outlineLevel="0" collapsed="false">
      <c r="A52" s="1" t="s">
        <v>228</v>
      </c>
      <c r="B52" s="90" t="n">
        <f aca="false">INDEX(Inputs!$C$88:$E$88,$B$2)</f>
        <v>0.5</v>
      </c>
    </row>
    <row r="53" customFormat="false" ht="15" hidden="false" customHeight="false" outlineLevel="0" collapsed="false">
      <c r="A53" s="1" t="s">
        <v>229</v>
      </c>
      <c r="B53" s="89" t="n">
        <f aca="false">INDEX(Inputs!$C$89:$E$89,$B$2)</f>
        <v>20</v>
      </c>
    </row>
    <row r="54" customFormat="false" ht="15" hidden="false" customHeight="false" outlineLevel="0" collapsed="false">
      <c r="A54" s="1" t="s">
        <v>231</v>
      </c>
      <c r="B54" s="91" t="n">
        <f aca="false">INDEX(Inputs!$C$90:$E$90,$B$2)</f>
        <v>0.4</v>
      </c>
    </row>
    <row r="55" customFormat="false" ht="15" hidden="false" customHeight="false" outlineLevel="0" collapsed="false">
      <c r="A55" s="1" t="s">
        <v>233</v>
      </c>
      <c r="B55" s="93" t="n">
        <f aca="false">INDEX(Inputs!$C$92:$E$92,$B$2)</f>
        <v>1500</v>
      </c>
    </row>
    <row r="56" customFormat="false" ht="15" hidden="false" customHeight="false" outlineLevel="0" collapsed="false">
      <c r="A56" s="1" t="s">
        <v>236</v>
      </c>
      <c r="B56" s="72" t="n">
        <f aca="false">INDEX(Inputs!$C$93:$E$93,$B$2)</f>
        <v>2035</v>
      </c>
    </row>
    <row r="57" customFormat="false" ht="15" hidden="false" customHeight="false" outlineLevel="0" collapsed="false">
      <c r="A57" s="1" t="s">
        <v>237</v>
      </c>
      <c r="B57" s="90" t="n">
        <f aca="false">INDEX(Inputs!$C$94:$E$94,$B$2)</f>
        <v>0.35</v>
      </c>
    </row>
    <row r="58" customFormat="false" ht="15" hidden="false" customHeight="false" outlineLevel="0" collapsed="false">
      <c r="A58" s="1" t="s">
        <v>238</v>
      </c>
      <c r="B58" s="92" t="n">
        <f aca="false">INDEX(Inputs!$C$95:$E$95,$B$2)</f>
        <v>120</v>
      </c>
    </row>
    <row r="59" customFormat="false" ht="15" hidden="false" customHeight="false" outlineLevel="0" collapsed="false">
      <c r="A59" s="1" t="s">
        <v>239</v>
      </c>
      <c r="B59" s="91" t="n">
        <f aca="false">INDEX(Inputs!$C$96:$E$96,$B$2)</f>
        <v>0.25</v>
      </c>
    </row>
    <row r="60" customFormat="false" ht="15" hidden="false" customHeight="false" outlineLevel="0" collapsed="false">
      <c r="A60" s="1" t="s">
        <v>242</v>
      </c>
      <c r="B60" s="91" t="n">
        <f aca="false">INDEX(Inputs!$C$98:$E$98,$B$2)</f>
        <v>0.15</v>
      </c>
    </row>
    <row r="61" customFormat="false" ht="15" hidden="false" customHeight="false" outlineLevel="0" collapsed="false">
      <c r="A61" s="1" t="s">
        <v>243</v>
      </c>
      <c r="B61" s="91" t="n">
        <f aca="false">INDEX(Inputs!$C$99:$E$99,$B$2)</f>
        <v>0.15</v>
      </c>
    </row>
    <row r="62" customFormat="false" ht="15" hidden="false" customHeight="false" outlineLevel="0" collapsed="false">
      <c r="A62" s="1" t="s">
        <v>244</v>
      </c>
      <c r="B62" s="94" t="n">
        <f aca="false">INDEX(Inputs!$C$100:$E$100,$B$2)</f>
        <v>40</v>
      </c>
    </row>
    <row r="63" customFormat="false" ht="15" hidden="false" customHeight="false" outlineLevel="0" collapsed="false">
      <c r="A63" s="1" t="s">
        <v>245</v>
      </c>
      <c r="B63" s="94" t="n">
        <f aca="false">INDEX(Inputs!$C$101:$E$101,$B$2)</f>
        <v>20</v>
      </c>
    </row>
    <row r="64" customFormat="false" ht="15" hidden="false" customHeight="false" outlineLevel="0" collapsed="false">
      <c r="A64" s="1" t="s">
        <v>246</v>
      </c>
      <c r="B64" s="91" t="n">
        <f aca="false">INDEX(Inputs!$C$102:$E$102,$B$2)</f>
        <v>0.005</v>
      </c>
    </row>
    <row r="65" customFormat="false" ht="15" hidden="false" customHeight="false" outlineLevel="0" collapsed="false">
      <c r="A65" s="1" t="s">
        <v>248</v>
      </c>
      <c r="B65" s="93" t="n">
        <f aca="false">INDEX(Inputs!$C$104:$E$104,$B$2)</f>
        <v>2200</v>
      </c>
    </row>
    <row r="66" customFormat="false" ht="15" hidden="false" customHeight="false" outlineLevel="0" collapsed="false">
      <c r="A66" s="1" t="s">
        <v>251</v>
      </c>
      <c r="B66" s="72" t="n">
        <f aca="false">INDEX(Inputs!$C$105:$E$105,$B$2)</f>
        <v>2030</v>
      </c>
    </row>
    <row r="67" customFormat="false" ht="15" hidden="false" customHeight="false" outlineLevel="0" collapsed="false">
      <c r="A67" s="1" t="s">
        <v>252</v>
      </c>
      <c r="B67" s="90" t="n">
        <f aca="false">INDEX(Inputs!$C$106:$E$106,$B$2)</f>
        <v>0.6</v>
      </c>
    </row>
    <row r="68" customFormat="false" ht="15" hidden="false" customHeight="false" outlineLevel="0" collapsed="false">
      <c r="A68" s="1" t="s">
        <v>253</v>
      </c>
      <c r="B68" s="91" t="n">
        <f aca="false">INDEX(Inputs!$C$107:$E$107,$B$2)</f>
        <v>0.45</v>
      </c>
    </row>
    <row r="69" customFormat="false" ht="15" hidden="false" customHeight="false" outlineLevel="0" collapsed="false">
      <c r="A69" s="1" t="s">
        <v>255</v>
      </c>
      <c r="B69" s="91" t="n">
        <f aca="false">INDEX(Inputs!$C$108:$E$108,$B$2)</f>
        <v>0.015</v>
      </c>
    </row>
    <row r="70" customFormat="false" ht="15" hidden="false" customHeight="false" outlineLevel="0" collapsed="false">
      <c r="A70" s="1" t="s">
        <v>257</v>
      </c>
      <c r="B70" s="91" t="n">
        <f aca="false">INDEX(Inputs!$C$109:$E$109,$B$2)</f>
        <v>0.1</v>
      </c>
    </row>
  </sheetData>
  <conditionalFormatting sqref="A8:AP28">
    <cfRule type="expression" priority="2" aboveAverage="0" equalAverage="0" bottom="0" percent="0" rank="0" text="" dxfId="7">
      <formula>AND(Inputs!$B$19="Yes",$A8=Inputs!$B$20)</formula>
    </cfRule>
  </conditionalFormatting>
  <conditionalFormatting sqref="AN8:AN28">
    <cfRule type="dataBar" priority="3">
      <dataBar showValue="1" minLength="10" maxLength="90">
        <cfvo type="num" val="0"/>
        <cfvo type="max" val="0"/>
        <color rgb="FF63BE7B"/>
      </dataBar>
      <extLst>
        <ext xmlns:x14="http://schemas.microsoft.com/office/spreadsheetml/2009/9/main" uri="{B025F937-C7B1-47D3-B67F-A62EFF666E3E}">
          <x14:id>{FCB6E773-E3D5-435F-88D6-F9CBC336BC74}</x14:id>
        </ext>
      </extLst>
    </cfRule>
  </conditionalFormatting>
  <conditionalFormatting sqref="AP8:AP28">
    <cfRule type="colorScale" priority="4">
      <colorScale>
        <cfvo type="num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6E773-E3D5-435F-88D6-F9CBC336BC74}">
            <x14:dataBar minLength="10" maxLength="90" axisPosition="none" gradient="true">
              <x14:cfvo type="num">
                <xm:f>0</xm:f>
              </x14:cfvo>
              <x14:cfvo type="max"/>
              <x14:negativeFillColor rgb="FF63BE7B"/>
              <x14:axisColor rgb="FF000000"/>
            </x14:dataBar>
          </x14:cfRule>
          <xm:sqref>AN8:AN28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42" min="1" style="1" width="12"/>
  </cols>
  <sheetData>
    <row r="1" customFormat="false" ht="19.7" hidden="false" customHeight="false" outlineLevel="0" collapsed="false">
      <c r="A1" s="31" t="s">
        <v>348</v>
      </c>
    </row>
    <row r="2" customFormat="false" ht="15" hidden="false" customHeight="false" outlineLevel="0" collapsed="false">
      <c r="A2" s="1" t="s">
        <v>302</v>
      </c>
      <c r="B2" s="69" t="n">
        <f aca="false">2</f>
        <v>2</v>
      </c>
      <c r="C2" s="70" t="str">
        <f aca="false">INDEX(Inputs!$C$64:$E$64,$B$2)</f>
        <v>Base</v>
      </c>
    </row>
    <row r="3" customFormat="false" ht="15" hidden="false" customHeight="false" outlineLevel="0" collapsed="false">
      <c r="A3" s="25" t="s">
        <v>303</v>
      </c>
    </row>
    <row r="4" customFormat="false" ht="15" hidden="false" customHeight="false" outlineLevel="0" collapsed="false">
      <c r="A4" s="1" t="s">
        <v>304</v>
      </c>
      <c r="B4" s="71" t="n">
        <f aca="false">IF(Inputs!$B$21="Manual",Inputs!$B$23,IF(Inputs!$B$21="Projected prices in merger year",INDEX($AB$8:$AB$28,MATCH($B$5,$A$8:$A$28,0))/INDEX($AG$8:$AG$28,MATCH($B$5,$A$8:$A$28,0)),Inputs!$B$9/Inputs!$B$12)*(1+Inputs!$B$22))</f>
        <v>2.33543003051629</v>
      </c>
    </row>
    <row r="5" customFormat="false" ht="15" hidden="false" customHeight="false" outlineLevel="0" collapsed="false">
      <c r="A5" s="1" t="s">
        <v>305</v>
      </c>
      <c r="B5" s="72" t="n">
        <f aca="false">Inputs!$B$20</f>
        <v>2027</v>
      </c>
    </row>
    <row r="7" customFormat="false" ht="60" hidden="false" customHeight="true" outlineLevel="0" collapsed="false">
      <c r="A7" s="17" t="s">
        <v>31</v>
      </c>
      <c r="B7" s="17" t="s">
        <v>306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312</v>
      </c>
      <c r="I7" s="17" t="s">
        <v>313</v>
      </c>
      <c r="J7" s="17" t="s">
        <v>314</v>
      </c>
      <c r="K7" s="17" t="s">
        <v>315</v>
      </c>
      <c r="L7" s="17" t="s">
        <v>316</v>
      </c>
      <c r="M7" s="17" t="s">
        <v>317</v>
      </c>
      <c r="N7" s="17" t="s">
        <v>318</v>
      </c>
      <c r="O7" s="17" t="s">
        <v>319</v>
      </c>
      <c r="P7" s="17" t="s">
        <v>320</v>
      </c>
      <c r="Q7" s="17" t="s">
        <v>321</v>
      </c>
      <c r="R7" s="17" t="s">
        <v>322</v>
      </c>
      <c r="S7" s="17" t="s">
        <v>323</v>
      </c>
      <c r="T7" s="17" t="s">
        <v>324</v>
      </c>
      <c r="U7" s="17" t="s">
        <v>325</v>
      </c>
      <c r="V7" s="17" t="s">
        <v>326</v>
      </c>
      <c r="W7" s="17" t="s">
        <v>327</v>
      </c>
      <c r="X7" s="17" t="s">
        <v>328</v>
      </c>
      <c r="Y7" s="17" t="s">
        <v>329</v>
      </c>
      <c r="Z7" s="17" t="s">
        <v>330</v>
      </c>
      <c r="AA7" s="17" t="s">
        <v>331</v>
      </c>
      <c r="AB7" s="17" t="s">
        <v>332</v>
      </c>
      <c r="AC7" s="17" t="s">
        <v>333</v>
      </c>
      <c r="AD7" s="17" t="s">
        <v>334</v>
      </c>
      <c r="AE7" s="17" t="s">
        <v>335</v>
      </c>
      <c r="AF7" s="17" t="s">
        <v>336</v>
      </c>
      <c r="AG7" s="17" t="s">
        <v>337</v>
      </c>
      <c r="AH7" s="17" t="s">
        <v>338</v>
      </c>
      <c r="AI7" s="17" t="s">
        <v>339</v>
      </c>
      <c r="AJ7" s="17" t="s">
        <v>340</v>
      </c>
      <c r="AK7" s="17" t="s">
        <v>341</v>
      </c>
      <c r="AL7" s="17" t="s">
        <v>342</v>
      </c>
      <c r="AM7" s="17" t="s">
        <v>34</v>
      </c>
      <c r="AN7" s="17" t="s">
        <v>35</v>
      </c>
      <c r="AO7" s="17" t="s">
        <v>343</v>
      </c>
      <c r="AP7" s="17" t="s">
        <v>344</v>
      </c>
    </row>
    <row r="8" customFormat="false" ht="15" hidden="false" customHeight="false" outlineLevel="0" collapsed="false">
      <c r="A8" s="73" t="n">
        <v>2026</v>
      </c>
      <c r="B8" s="73" t="n">
        <f aca="false">A8-2026</f>
        <v>0</v>
      </c>
      <c r="C8" s="74" t="n">
        <f aca="false">MIN(1,B8/Inputs!$B$27)</f>
        <v>0</v>
      </c>
      <c r="D8" s="75" t="n">
        <f aca="false">Inputs!$B$30+($B$33-Inputs!$B$30)*((1/(1+EXP(-$B$35*($A8-$B$34))))-(1/(1+EXP(-$B$35*(2026-$B$34)))))/(1-(1/(1+EXP(-$B$35*(2026-$B$34)))))</f>
        <v>1.81</v>
      </c>
      <c r="E8" s="76" t="n">
        <f aca="false">Inputs!$B$31+D8+J8</f>
        <v>10.712</v>
      </c>
      <c r="F8" s="76" t="n">
        <f aca="false">MAX($B$37,Inputs!$B$32*(1+$B$36)^B8)</f>
        <v>41.5</v>
      </c>
      <c r="G8" s="24" t="n">
        <f aca="false">D8*F8</f>
        <v>75.115</v>
      </c>
      <c r="H8" s="75" t="n">
        <f aca="false">Inputs!$B$34+($B$39-Inputs!$B$34)*((1/(1+EXP(-$B$41*($A8-$B$40))))-(1/(1+EXP(-$B$41*(2026-$B$40)))))/(1-(1/(1+EXP(-$B$41*(2026-$B$40)))))</f>
        <v>1.6</v>
      </c>
      <c r="I8" s="24" t="n">
        <f aca="false">H8*$B$42*12/1000</f>
        <v>1.536</v>
      </c>
      <c r="J8" s="77" t="n">
        <f aca="false">Inputs!$B$35+($B$44-Inputs!$B$35)*((1/(1+EXP(-$B$46*($A8-$B$45))))-(1/(1+EXP(-$B$46*(2026-$B$45)))))/(1-(1/(1+EXP(-$B$46*(2026-$B$45)))))</f>
        <v>0.002</v>
      </c>
      <c r="K8" s="77" t="n">
        <f aca="false">J8/2</f>
        <v>0.001</v>
      </c>
      <c r="L8" s="75" t="n">
        <f aca="false">MAX($B$48,Inputs!$B$36*(1-Inputs!$B$37)^B8)</f>
        <v>1.5</v>
      </c>
      <c r="M8" s="24" t="n">
        <f aca="false">K8*$B$47*L8</f>
        <v>0.075</v>
      </c>
      <c r="N8" s="77" t="n">
        <f aca="false">Inputs!$B$39+($B$50-Inputs!$B$39)*((1/(1+EXP(-$B$52*($A8-$B$51))))-(1/(1+EXP(-$B$52*(2026-$B$51)))))/(1-(1/(1+EXP(-$B$52*(2026-$B$51)))))</f>
        <v>0.005</v>
      </c>
      <c r="O8" s="75" t="n">
        <f aca="false">N8</f>
        <v>0.005</v>
      </c>
      <c r="P8" s="76" t="n">
        <f aca="false">MAX($B$53,Inputs!$B$40*(1-Inputs!$B$41)^B8)</f>
        <v>50</v>
      </c>
      <c r="Q8" s="24" t="n">
        <f aca="false">N8*P8</f>
        <v>0.25</v>
      </c>
      <c r="R8" s="22" t="n">
        <f aca="false">Inputs!$B$43+($B$55-Inputs!$B$43)*((1/(1+EXP(-$B$57*($A8-$B$56))))-(1/(1+EXP(-$B$57*(2026-$B$56)))))/(1-(1/(1+EXP(-$B$57*(2026-$B$56)))))</f>
        <v>52</v>
      </c>
      <c r="S8" s="73" t="n">
        <f aca="false">MAX($B$58,Inputs!$B$44*(1-Inputs!$B$45)^B8)</f>
        <v>245</v>
      </c>
      <c r="T8" s="24" t="n">
        <f aca="false">R8*S8/1000</f>
        <v>12.74</v>
      </c>
      <c r="U8" s="24" t="n">
        <f aca="false">Inputs!$B$47</f>
        <v>17.5</v>
      </c>
      <c r="V8" s="78" t="n">
        <f aca="false">G8+I8+M8+Q8+T8+U8</f>
        <v>107.216</v>
      </c>
      <c r="W8" s="24" t="n">
        <f aca="false">G8*(Inputs!$B$33+($B$38-Inputs!$B$33)*C8)+I8*$B$43+M8*(Inputs!$B$38+($B$49-Inputs!$B$38)*C8)+Q8*(Inputs!$B$42+($B$54-Inputs!$B$42)*C8)+T8*(Inputs!$B$46+($B$59-Inputs!$B$46)*C8)+U8*$B$61-V8*Inputs!$B$49</f>
        <v>12.60948</v>
      </c>
      <c r="X8" s="24" t="n">
        <f aca="false">(W8-V8*(Inputs!$B$50+Inputs!$B$51))*(1-Inputs!$B$52)</f>
        <v>1.4914252</v>
      </c>
      <c r="Y8" s="76" t="n">
        <f aca="false">$B$62+($B$63-$B$62)*MIN(1,MAX(0,(A8-2027)/(Inputs!$B$26-2027)))</f>
        <v>30</v>
      </c>
      <c r="Z8" s="77" t="n">
        <f aca="false">Inputs!$B$11*(1+$B$64)^B8</f>
        <v>3.949547394</v>
      </c>
      <c r="AA8" s="22" t="n">
        <f aca="false">MIN(1,B8/Inputs!$B$25)*(W9*Y8+Inputs!$B$28)+(1-MIN(1,B8/Inputs!$B$25))*Inputs!$B$9*Inputs!$B$11</f>
        <v>1481.08027275</v>
      </c>
      <c r="AB8" s="79" t="n">
        <f aca="false">AA8/Z8</f>
        <v>375</v>
      </c>
      <c r="AC8" s="22" t="n">
        <f aca="false">Inputs!$B$53+($B$65-Inputs!$B$53)*((1/(1+EXP(-$B$67*($A8-$B$66))))-(1/(1+EXP(-$B$67*(2026-$B$66)))))/(1-(1/(1+EXP(-$B$67*(2026-$B$66)))))</f>
        <v>32</v>
      </c>
      <c r="AD8" s="22" t="n">
        <f aca="false">AC8*(Inputs!$B$54+($B$68-Inputs!$B$54)*C8)</f>
        <v>11.2</v>
      </c>
      <c r="AE8" s="75" t="n">
        <f aca="false">Inputs!$B$13*(1+$B$69)^B8</f>
        <v>13.57</v>
      </c>
      <c r="AF8" s="22" t="n">
        <f aca="false">MIN(1,B8/Inputs!$B$25)*(AD9*Y8)+(1-MIN(1,B8/Inputs!$B$25))*Inputs!$B$12*Inputs!$B$13</f>
        <v>2178.9349</v>
      </c>
      <c r="AG8" s="19" t="n">
        <f aca="false">AF8/AE8</f>
        <v>160.57</v>
      </c>
      <c r="AH8" s="73" t="n">
        <f aca="false">IF(AND(Inputs!$B$19="Yes",A8&gt;=$B$5),1,0)</f>
        <v>0</v>
      </c>
      <c r="AI8" s="22" t="n">
        <f aca="false">(AA8+AF8)*(1+IF(AH8=1,$B$70*MIN(1,(A8-$B$5+1)/3),0))</f>
        <v>3660.01517275</v>
      </c>
      <c r="AJ8" s="75" t="n">
        <f aca="false">AE8+Z8*$B$4</f>
        <v>22.7938915908949</v>
      </c>
      <c r="AK8" s="58" t="n">
        <f aca="false">IF(AH8=1,Z8*$B$4/AJ8,1)</f>
        <v>1</v>
      </c>
      <c r="AL8" s="79" t="n">
        <f aca="false">IF(AH8=1,$B$4*AI8/AJ8,AB8)</f>
        <v>375</v>
      </c>
      <c r="AM8" s="19" t="n">
        <f aca="false">AL8*Holdings!$D$15</f>
        <v>138180</v>
      </c>
      <c r="AN8" s="80" t="n">
        <f aca="false">AM8/Inputs!$B$14</f>
        <v>104452.339557034</v>
      </c>
      <c r="AO8" s="21" t="n">
        <f aca="false">AN8/(1+Inputs!$B$17)^B8</f>
        <v>104452.339557034</v>
      </c>
      <c r="AP8" s="20" t="n">
        <f aca="false">AL8/Inputs!$B$9</f>
        <v>1</v>
      </c>
    </row>
    <row r="9" customFormat="false" ht="15" hidden="false" customHeight="false" outlineLevel="0" collapsed="false">
      <c r="A9" s="73" t="n">
        <v>2027</v>
      </c>
      <c r="B9" s="73" t="n">
        <f aca="false">A9-2026</f>
        <v>1</v>
      </c>
      <c r="C9" s="74" t="n">
        <f aca="false">MIN(1,B9/Inputs!$B$27)</f>
        <v>0.166666666666667</v>
      </c>
      <c r="D9" s="75" t="n">
        <f aca="false">Inputs!$B$30+($B$33-Inputs!$B$30)*((1/(1+EXP(-$B$35*($A9-$B$34))))-(1/(1+EXP(-$B$35*(2026-$B$34)))))/(1-(1/(1+EXP(-$B$35*(2026-$B$34)))))</f>
        <v>1.9003231908909</v>
      </c>
      <c r="E9" s="76" t="n">
        <f aca="false">E8-J8+D9+J9</f>
        <v>12.6419597958666</v>
      </c>
      <c r="F9" s="76" t="n">
        <f aca="false">MAX($B$37,Inputs!$B$32*(1+$B$36)^B9)</f>
        <v>40.8775</v>
      </c>
      <c r="G9" s="24" t="n">
        <f aca="false">D9*F9</f>
        <v>77.6804612356426</v>
      </c>
      <c r="H9" s="75" t="n">
        <f aca="false">Inputs!$B$34+($B$39-Inputs!$B$34)*((1/(1+EXP(-$B$41*($A9-$B$40))))-(1/(1+EXP(-$B$41*(2026-$B$40)))))/(1-(1/(1+EXP(-$B$41*(2026-$B$40)))))</f>
        <v>1.88395300635393</v>
      </c>
      <c r="I9" s="24" t="n">
        <f aca="false">H9*$B$42*12/1000</f>
        <v>1.80859488609977</v>
      </c>
      <c r="J9" s="77" t="n">
        <f aca="false">Inputs!$B$35+($B$44-Inputs!$B$35)*((1/(1+EXP(-$B$46*($A9-$B$45))))-(1/(1+EXP(-$B$46*(2026-$B$45)))))/(1-(1/(1+EXP(-$B$46*(2026-$B$45)))))</f>
        <v>0.0316366049757338</v>
      </c>
      <c r="K9" s="77" t="n">
        <f aca="false">(J9+J8)/2</f>
        <v>0.0168183024878669</v>
      </c>
      <c r="L9" s="75" t="n">
        <f aca="false">MAX($B$48,Inputs!$B$36*(1-Inputs!$B$37)^B9)</f>
        <v>1.425</v>
      </c>
      <c r="M9" s="24" t="n">
        <f aca="false">K9*$B$47*L9</f>
        <v>1.19830405226052</v>
      </c>
      <c r="N9" s="77" t="n">
        <f aca="false">Inputs!$B$39+($B$50-Inputs!$B$39)*((1/(1+EXP(-$B$52*($A9-$B$51))))-(1/(1+EXP(-$B$52*(2026-$B$51)))))/(1-(1/(1+EXP(-$B$52*(2026-$B$51)))))</f>
        <v>0.0130596530656037</v>
      </c>
      <c r="O9" s="75" t="n">
        <f aca="false">O8+N9</f>
        <v>0.0180596530656037</v>
      </c>
      <c r="P9" s="76" t="n">
        <f aca="false">MAX($B$53,Inputs!$B$40*(1-Inputs!$B$41)^B9)</f>
        <v>46</v>
      </c>
      <c r="Q9" s="24" t="n">
        <f aca="false">N9*P9</f>
        <v>0.60074404101777</v>
      </c>
      <c r="R9" s="22" t="n">
        <f aca="false">Inputs!$B$43+($B$55-Inputs!$B$43)*((1/(1+EXP(-$B$57*($A9-$B$56))))-(1/(1+EXP(-$B$57*(2026-$B$56)))))/(1-(1/(1+EXP(-$B$57*(2026-$B$56)))))</f>
        <v>63.8131524124608</v>
      </c>
      <c r="S9" s="73" t="n">
        <f aca="false">MAX($B$58,Inputs!$B$44*(1-Inputs!$B$45)^B9)</f>
        <v>235.2</v>
      </c>
      <c r="T9" s="24" t="n">
        <f aca="false">R9*S9/1000</f>
        <v>15.0088534474108</v>
      </c>
      <c r="U9" s="24" t="n">
        <f aca="false">U8*(1+$B$60*Inputs!$B$48^(B9-1))</f>
        <v>19.25</v>
      </c>
      <c r="V9" s="78" t="n">
        <f aca="false">G9+I9+M9+Q9+T9+U9</f>
        <v>115.546957662431</v>
      </c>
      <c r="W9" s="24" t="n">
        <f aca="false">G9*(Inputs!$B$33+($B$38-Inputs!$B$33)*C9)+I9*$B$43+M9*(Inputs!$B$38+($B$49-Inputs!$B$38)*C9)+Q9*(Inputs!$B$42+($B$54-Inputs!$B$42)*C9)+T9*(Inputs!$B$46+($B$59-Inputs!$B$46)*C9)+U9*$B$61-V9*Inputs!$B$49</f>
        <v>14.0093906122969</v>
      </c>
      <c r="X9" s="24" t="n">
        <f aca="false">(W9-V9*(Inputs!$B$50+Inputs!$B$51))*(1-Inputs!$B$52)</f>
        <v>1.93920892838244</v>
      </c>
      <c r="Y9" s="76" t="n">
        <f aca="false">$B$62+($B$63-$B$62)*MIN(1,MAX(0,(A9-2027)/(Inputs!$B$26-2027)))</f>
        <v>30</v>
      </c>
      <c r="Z9" s="77" t="n">
        <f aca="false">Inputs!$B$11*(1+$B$64)^B9</f>
        <v>3.98904286794</v>
      </c>
      <c r="AA9" s="22" t="n">
        <f aca="false">MIN(1,B9/Inputs!$B$25)*(W10*Y9+Inputs!$B$28)+(1-MIN(1,B9/Inputs!$B$25))*Inputs!$B$9*Inputs!$B$11</f>
        <v>1162.84044162539</v>
      </c>
      <c r="AB9" s="79" t="n">
        <f aca="false">AA9/Z9</f>
        <v>291.50863505909</v>
      </c>
      <c r="AC9" s="22" t="n">
        <f aca="false">Inputs!$B$53+($B$65-Inputs!$B$53)*((1/(1+EXP(-$B$67*($A9-$B$66))))-(1/(1+EXP(-$B$67*(2026-$B$66)))))/(1-(1/(1+EXP(-$B$67*(2026-$B$66)))))</f>
        <v>58.5429188871694</v>
      </c>
      <c r="AD9" s="22" t="n">
        <f aca="false">AC9*(Inputs!$B$54+($B$68-Inputs!$B$54)*C9)</f>
        <v>20.9778792679024</v>
      </c>
      <c r="AE9" s="75" t="n">
        <f aca="false">Inputs!$B$13*(1+$B$69)^B9</f>
        <v>13.8414</v>
      </c>
      <c r="AF9" s="22" t="n">
        <f aca="false">MIN(1,B9/Inputs!$B$25)*(AD10*Y9)+(1-MIN(1,B9/Inputs!$B$25))*Inputs!$B$12*Inputs!$B$13</f>
        <v>1802.94050668875</v>
      </c>
      <c r="AG9" s="19" t="n">
        <f aca="false">AF9/AE9</f>
        <v>130.257091528946</v>
      </c>
      <c r="AH9" s="73" t="n">
        <f aca="false">IF(AND(Inputs!$B$19="Yes",A9&gt;=$B$5),1,0)</f>
        <v>1</v>
      </c>
      <c r="AI9" s="22" t="n">
        <f aca="false">(AA9+AF9)*(1+IF(AH9=1,$B$70*MIN(1,(A9-$B$5+1)/3),0))</f>
        <v>2965.78094831414</v>
      </c>
      <c r="AJ9" s="75" t="n">
        <f aca="false">AE9+Z9*$B$4</f>
        <v>23.1575305068039</v>
      </c>
      <c r="AK9" s="58" t="n">
        <f aca="false">IF(AH9=1,Z9*$B$4/AJ9,1)</f>
        <v>0.402293781025862</v>
      </c>
      <c r="AL9" s="79" t="n">
        <f aca="false">IF(AH9=1,$B$4*AI9/AJ9,AB9)</f>
        <v>299.098122254049</v>
      </c>
      <c r="AM9" s="19" t="n">
        <f aca="false">AL9*Holdings!$D$15</f>
        <v>110211.676088172</v>
      </c>
      <c r="AN9" s="80" t="n">
        <f aca="false">AM9/Inputs!$B$14</f>
        <v>83310.6630041364</v>
      </c>
      <c r="AO9" s="21" t="n">
        <f aca="false">AN9/(1+Inputs!$B$17)^B9</f>
        <v>81278.6956137916</v>
      </c>
      <c r="AP9" s="20" t="n">
        <f aca="false">AL9/Inputs!$B$9</f>
        <v>0.797594992677464</v>
      </c>
    </row>
    <row r="10" customFormat="false" ht="15" hidden="false" customHeight="false" outlineLevel="0" collapsed="false">
      <c r="A10" s="73" t="n">
        <v>2028</v>
      </c>
      <c r="B10" s="73" t="n">
        <f aca="false">A10-2026</f>
        <v>2</v>
      </c>
      <c r="C10" s="74" t="n">
        <f aca="false">MIN(1,B10/Inputs!$B$27)</f>
        <v>0.333333333333333</v>
      </c>
      <c r="D10" s="75" t="n">
        <f aca="false">Inputs!$B$30+($B$33-Inputs!$B$30)*((1/(1+EXP(-$B$35*($A10-$B$34))))-(1/(1+EXP(-$B$35*(2026-$B$34)))))/(1-(1/(1+EXP(-$B$35*(2026-$B$34)))))</f>
        <v>2.01624527614026</v>
      </c>
      <c r="E10" s="76" t="n">
        <f aca="false">E9-J9+D10+J10</f>
        <v>14.7017701446648</v>
      </c>
      <c r="F10" s="76" t="n">
        <f aca="false">MAX($B$37,Inputs!$B$32*(1+$B$36)^B10)</f>
        <v>40.2643375</v>
      </c>
      <c r="G10" s="24" t="n">
        <f aca="false">D10*F10</f>
        <v>81.182780281292</v>
      </c>
      <c r="H10" s="75" t="n">
        <f aca="false">Inputs!$B$34+($B$39-Inputs!$B$34)*((1/(1+EXP(-$B$41*($A10-$B$40))))-(1/(1+EXP(-$B$41*(2026-$B$40)))))/(1-(1/(1+EXP(-$B$41*(2026-$B$40)))))</f>
        <v>2.27527328273556</v>
      </c>
      <c r="I10" s="24" t="n">
        <f aca="false">H10*$B$42*12/1000</f>
        <v>2.18426235142614</v>
      </c>
      <c r="J10" s="77" t="n">
        <f aca="false">Inputs!$B$35+($B$44-Inputs!$B$35)*((1/(1+EXP(-$B$46*($A10-$B$45))))-(1/(1+EXP(-$B$46*(2026-$B$45)))))/(1-(1/(1+EXP(-$B$46*(2026-$B$45)))))</f>
        <v>0.075201677633693</v>
      </c>
      <c r="K10" s="77" t="n">
        <f aca="false">(J10+J9)/2</f>
        <v>0.0534191413047134</v>
      </c>
      <c r="L10" s="75" t="n">
        <f aca="false">MAX($B$48,Inputs!$B$36*(1-Inputs!$B$37)^B10)</f>
        <v>1.35375</v>
      </c>
      <c r="M10" s="24" t="n">
        <f aca="false">K10*$B$47*L10</f>
        <v>3.61580812706279</v>
      </c>
      <c r="N10" s="77" t="n">
        <f aca="false">Inputs!$B$39+($B$50-Inputs!$B$39)*((1/(1+EXP(-$B$52*($A10-$B$51))))-(1/(1+EXP(-$B$52*(2026-$B$51)))))/(1-(1/(1+EXP(-$B$52*(2026-$B$51)))))</f>
        <v>0.0250029396799995</v>
      </c>
      <c r="O10" s="75" t="n">
        <f aca="false">O9+N10</f>
        <v>0.0430625927456032</v>
      </c>
      <c r="P10" s="76" t="n">
        <f aca="false">MAX($B$53,Inputs!$B$40*(1-Inputs!$B$41)^B10)</f>
        <v>42.32</v>
      </c>
      <c r="Q10" s="24" t="n">
        <f aca="false">N10*P10</f>
        <v>1.05812440725758</v>
      </c>
      <c r="R10" s="22" t="n">
        <f aca="false">Inputs!$B$43+($B$55-Inputs!$B$43)*((1/(1+EXP(-$B$57*($A10-$B$56))))-(1/(1+EXP(-$B$57*(2026-$B$56)))))/(1-(1/(1+EXP(-$B$57*(2026-$B$56)))))</f>
        <v>78.9743225118999</v>
      </c>
      <c r="S10" s="73" t="n">
        <f aca="false">MAX($B$58,Inputs!$B$44*(1-Inputs!$B$45)^B10)</f>
        <v>225.792</v>
      </c>
      <c r="T10" s="24" t="n">
        <f aca="false">R10*S10/1000</f>
        <v>17.8317702286069</v>
      </c>
      <c r="U10" s="24" t="n">
        <f aca="false">U9*(1+$B$60*Inputs!$B$48^(B10-1))</f>
        <v>21.04025</v>
      </c>
      <c r="V10" s="78" t="n">
        <f aca="false">G10+I10+M10+Q10+T10+U10</f>
        <v>126.912995395645</v>
      </c>
      <c r="W10" s="24" t="n">
        <f aca="false">G10*(Inputs!$B$33+($B$38-Inputs!$B$33)*C10)+I10*$B$43+M10*(Inputs!$B$38+($B$49-Inputs!$B$38)*C10)+Q10*(Inputs!$B$42+($B$54-Inputs!$B$42)*C10)+T10*(Inputs!$B$46+($B$59-Inputs!$B$46)*C10)+U10*$B$61-V10*Inputs!$B$49</f>
        <v>16.288692645872</v>
      </c>
      <c r="X10" s="24" t="n">
        <f aca="false">(W10-V10*(Inputs!$B$50+Inputs!$B$51))*(1-Inputs!$B$52)</f>
        <v>2.84194055398288</v>
      </c>
      <c r="Y10" s="76" t="n">
        <f aca="false">$B$62+($B$63-$B$62)*MIN(1,MAX(0,(A10-2027)/(Inputs!$B$26-2027)))</f>
        <v>28.6363636363636</v>
      </c>
      <c r="Z10" s="77" t="n">
        <f aca="false">Inputs!$B$11*(1+$B$64)^B10</f>
        <v>4.0289332966194</v>
      </c>
      <c r="AA10" s="22" t="n">
        <f aca="false">MIN(1,B10/Inputs!$B$25)*(W11*Y10+Inputs!$B$28)+(1-MIN(1,B10/Inputs!$B$25))*Inputs!$B$9*Inputs!$B$11</f>
        <v>893.302940750622</v>
      </c>
      <c r="AB10" s="79" t="n">
        <f aca="false">AA10/Z10</f>
        <v>221.721948462184</v>
      </c>
      <c r="AC10" s="22" t="n">
        <f aca="false">Inputs!$B$53+($B$65-Inputs!$B$53)*((1/(1+EXP(-$B$67*($A10-$B$66))))-(1/(1+EXP(-$B$67*(2026-$B$66)))))/(1-(1/(1+EXP(-$B$67*(2026-$B$66)))))</f>
        <v>95.541065460568</v>
      </c>
      <c r="AD10" s="22" t="n">
        <f aca="false">AC10*(Inputs!$B$54+($B$68-Inputs!$B$54)*C10)</f>
        <v>35.0317240022083</v>
      </c>
      <c r="AE10" s="75" t="n">
        <f aca="false">Inputs!$B$13*(1+$B$69)^B10</f>
        <v>14.118228</v>
      </c>
      <c r="AF10" s="22" t="n">
        <f aca="false">MIN(1,B10/Inputs!$B$25)*(AD11*Y10)+(1-MIN(1,B10/Inputs!$B$25))*Inputs!$B$12*Inputs!$B$13</f>
        <v>1768.89115901623</v>
      </c>
      <c r="AG10" s="19" t="n">
        <f aca="false">AF10/AE10</f>
        <v>125.291301359932</v>
      </c>
      <c r="AH10" s="73" t="n">
        <f aca="false">IF(AND(Inputs!$B$19="Yes",A10&gt;=$B$5),1,0)</f>
        <v>1</v>
      </c>
      <c r="AI10" s="22" t="n">
        <f aca="false">(AA10+AF10)*(1+IF(AH10=1,$B$70*MIN(1,(A10-$B$5+1)/3),0))</f>
        <v>2662.19409976685</v>
      </c>
      <c r="AJ10" s="75" t="n">
        <f aca="false">AE10+Z10*$B$4</f>
        <v>23.5275198118719</v>
      </c>
      <c r="AK10" s="58" t="n">
        <f aca="false">IF(AH10=1,Z10*$B$4/AJ10,1)</f>
        <v>0.399927059337722</v>
      </c>
      <c r="AL10" s="79" t="n">
        <f aca="false">IF(AH10=1,$B$4*AI10/AJ10,AB10)</f>
        <v>264.259390593373</v>
      </c>
      <c r="AM10" s="19" t="n">
        <f aca="false">AL10*Holdings!$D$15</f>
        <v>97374.300245846</v>
      </c>
      <c r="AN10" s="80" t="n">
        <f aca="false">AM10/Inputs!$B$14</f>
        <v>73606.6975930501</v>
      </c>
      <c r="AO10" s="21" t="n">
        <f aca="false">AN10/(1+Inputs!$B$17)^B10</f>
        <v>70059.9144252708</v>
      </c>
      <c r="AP10" s="20" t="n">
        <f aca="false">AL10/Inputs!$B$9</f>
        <v>0.704691708248994</v>
      </c>
    </row>
    <row r="11" customFormat="false" ht="15" hidden="false" customHeight="false" outlineLevel="0" collapsed="false">
      <c r="A11" s="73" t="n">
        <v>2029</v>
      </c>
      <c r="B11" s="73" t="n">
        <f aca="false">A11-2026</f>
        <v>3</v>
      </c>
      <c r="C11" s="74" t="n">
        <f aca="false">MIN(1,B11/Inputs!$B$27)</f>
        <v>0.5</v>
      </c>
      <c r="D11" s="75" t="n">
        <f aca="false">Inputs!$B$30+($B$33-Inputs!$B$30)*((1/(1+EXP(-$B$35*($A11-$B$34))))-(1/(1+EXP(-$B$35*(2026-$B$34)))))/(1-(1/(1+EXP(-$B$35*(2026-$B$34)))))</f>
        <v>2.16270886072513</v>
      </c>
      <c r="E11" s="76" t="n">
        <f aca="false">E10-J10+D11+J11</f>
        <v>16.9280687582138</v>
      </c>
      <c r="F11" s="76" t="n">
        <f aca="false">MAX($B$37,Inputs!$B$32*(1+$B$36)^B11)</f>
        <v>39.6603724375</v>
      </c>
      <c r="G11" s="24" t="n">
        <f aca="false">D11*F11</f>
        <v>85.7738388902399</v>
      </c>
      <c r="H11" s="75" t="n">
        <f aca="false">Inputs!$B$34+($B$39-Inputs!$B$34)*((1/(1+EXP(-$B$41*($A11-$B$40))))-(1/(1+EXP(-$B$41*(2026-$B$40)))))/(1-(1/(1+EXP(-$B$41*(2026-$B$40)))))</f>
        <v>2.80837604890322</v>
      </c>
      <c r="I11" s="24" t="n">
        <f aca="false">H11*$B$42*12/1000</f>
        <v>2.69604100694709</v>
      </c>
      <c r="J11" s="77" t="n">
        <f aca="false">Inputs!$B$35+($B$44-Inputs!$B$35)*((1/(1+EXP(-$B$46*($A11-$B$45))))-(1/(1+EXP(-$B$46*(2026-$B$45)))))/(1-(1/(1+EXP(-$B$46*(2026-$B$45)))))</f>
        <v>0.138791430457536</v>
      </c>
      <c r="K11" s="77" t="n">
        <f aca="false">(J11+J10)/2</f>
        <v>0.106996554045614</v>
      </c>
      <c r="L11" s="75" t="n">
        <f aca="false">MAX($B$48,Inputs!$B$36*(1-Inputs!$B$37)^B11)</f>
        <v>1.2860625</v>
      </c>
      <c r="M11" s="24" t="n">
        <f aca="false">K11*$B$47*L11</f>
        <v>6.88021278936439</v>
      </c>
      <c r="N11" s="77" t="n">
        <f aca="false">Inputs!$B$39+($B$50-Inputs!$B$39)*((1/(1+EXP(-$B$52*($A11-$B$51))))-(1/(1+EXP(-$B$52*(2026-$B$51)))))/(1-(1/(1+EXP(-$B$52*(2026-$B$51)))))</f>
        <v>0.0426437585436796</v>
      </c>
      <c r="O11" s="75" t="n">
        <f aca="false">O10+N11</f>
        <v>0.0857063512892829</v>
      </c>
      <c r="P11" s="76" t="n">
        <f aca="false">MAX($B$53,Inputs!$B$40*(1-Inputs!$B$41)^B11)</f>
        <v>38.9344</v>
      </c>
      <c r="Q11" s="24" t="n">
        <f aca="false">N11*P11</f>
        <v>1.66030915264304</v>
      </c>
      <c r="R11" s="22" t="n">
        <f aca="false">Inputs!$B$43+($B$55-Inputs!$B$43)*((1/(1+EXP(-$B$57*($A11-$B$56))))-(1/(1+EXP(-$B$57*(2026-$B$56)))))/(1-(1/(1+EXP(-$B$57*(2026-$B$56)))))</f>
        <v>98.12994168911</v>
      </c>
      <c r="S11" s="73" t="n">
        <f aca="false">MAX($B$58,Inputs!$B$44*(1-Inputs!$B$45)^B11)</f>
        <v>216.76032</v>
      </c>
      <c r="T11" s="24" t="n">
        <f aca="false">R11*S11/1000</f>
        <v>21.2706775621128</v>
      </c>
      <c r="U11" s="24" t="n">
        <f aca="false">U10*(1+$B$60*Inputs!$B$48^(B11-1))</f>
        <v>22.8600212225</v>
      </c>
      <c r="V11" s="78" t="n">
        <f aca="false">G11+I11+M11+Q11+T11+U11</f>
        <v>141.141100623807</v>
      </c>
      <c r="W11" s="24" t="n">
        <f aca="false">G11*(Inputs!$B$33+($B$38-Inputs!$B$33)*C11)+I11*$B$43+M11*(Inputs!$B$38+($B$49-Inputs!$B$38)*C11)+Q11*(Inputs!$B$42+($B$54-Inputs!$B$42)*C11)+T11*(Inputs!$B$46+($B$59-Inputs!$B$46)*C11)+U11*$B$61-V11*Inputs!$B$49</f>
        <v>19.6154191182865</v>
      </c>
      <c r="X11" s="24" t="n">
        <f aca="false">(W11-V11*(Inputs!$B$50+Inputs!$B$51))*(1-Inputs!$B$52)</f>
        <v>4.34603415416559</v>
      </c>
      <c r="Y11" s="76" t="n">
        <f aca="false">$B$62+($B$63-$B$62)*MIN(1,MAX(0,(A11-2027)/(Inputs!$B$26-2027)))</f>
        <v>27.2727272727273</v>
      </c>
      <c r="Z11" s="77" t="n">
        <f aca="false">Inputs!$B$11*(1+$B$64)^B11</f>
        <v>4.06922262958559</v>
      </c>
      <c r="AA11" s="22" t="n">
        <f aca="false">MIN(1,B11/Inputs!$B$25)*(W12*Y11+Inputs!$B$28)+(1-MIN(1,B11/Inputs!$B$25))*Inputs!$B$9*Inputs!$B$11</f>
        <v>702.567922543753</v>
      </c>
      <c r="AB11" s="79" t="n">
        <f aca="false">AA11/Z11</f>
        <v>172.654088138525</v>
      </c>
      <c r="AC11" s="22" t="n">
        <f aca="false">Inputs!$B$53+($B$65-Inputs!$B$53)*((1/(1+EXP(-$B$67*($A11-$B$66))))-(1/(1+EXP(-$B$67*(2026-$B$66)))))/(1-(1/(1+EXP(-$B$67*(2026-$B$66)))))</f>
        <v>145.630155968405</v>
      </c>
      <c r="AD11" s="22" t="n">
        <f aca="false">AC11*(Inputs!$B$54+($B$68-Inputs!$B$54)*C11)</f>
        <v>54.6113084881518</v>
      </c>
      <c r="AE11" s="75" t="n">
        <f aca="false">Inputs!$B$13*(1+$B$69)^B11</f>
        <v>14.40059256</v>
      </c>
      <c r="AF11" s="22" t="n">
        <f aca="false">MIN(1,B11/Inputs!$B$25)*(AD12*Y11)+(1-MIN(1,B11/Inputs!$B$25))*Inputs!$B$12*Inputs!$B$13</f>
        <v>2204.12615857369</v>
      </c>
      <c r="AG11" s="19" t="n">
        <f aca="false">AF11/AE11</f>
        <v>153.058018230167</v>
      </c>
      <c r="AH11" s="73" t="n">
        <f aca="false">IF(AND(Inputs!$B$19="Yes",A11&gt;=$B$5),1,0)</f>
        <v>1</v>
      </c>
      <c r="AI11" s="22" t="n">
        <f aca="false">(AA11+AF11)*(1+IF(AH11=1,$B$70*MIN(1,(A11-$B$5+1)/3),0))</f>
        <v>2906.69408111744</v>
      </c>
      <c r="AJ11" s="75" t="n">
        <f aca="false">AE11+Z11*$B$4</f>
        <v>23.9039772899906</v>
      </c>
      <c r="AK11" s="58" t="n">
        <f aca="false">IF(AH11=1,Z11*$B$4/AJ11,1)</f>
        <v>0.397564999945428</v>
      </c>
      <c r="AL11" s="79" t="n">
        <f aca="false">IF(AH11=1,$B$4*AI11/AJ11,AB11)</f>
        <v>283.985403943976</v>
      </c>
      <c r="AM11" s="19" t="n">
        <f aca="false">AL11*Holdings!$D$15</f>
        <v>104642.941645276</v>
      </c>
      <c r="AN11" s="80" t="n">
        <f aca="false">AM11/Inputs!$B$14</f>
        <v>79101.1729119935</v>
      </c>
      <c r="AO11" s="21" t="n">
        <f aca="false">AN11/(1+Inputs!$B$17)^B11</f>
        <v>73453.3025691384</v>
      </c>
      <c r="AP11" s="20" t="n">
        <f aca="false">AL11/Inputs!$B$9</f>
        <v>0.757294410517269</v>
      </c>
    </row>
    <row r="12" customFormat="false" ht="15" hidden="false" customHeight="false" outlineLevel="0" collapsed="false">
      <c r="A12" s="73" t="n">
        <v>2030</v>
      </c>
      <c r="B12" s="73" t="n">
        <f aca="false">A12-2026</f>
        <v>4</v>
      </c>
      <c r="C12" s="74" t="n">
        <f aca="false">MIN(1,B12/Inputs!$B$27)</f>
        <v>0.666666666666667</v>
      </c>
      <c r="D12" s="75" t="n">
        <f aca="false">Inputs!$B$30+($B$33-Inputs!$B$30)*((1/(1+EXP(-$B$35*($A12-$B$34))))-(1/(1+EXP(-$B$35*(2026-$B$34)))))/(1-(1/(1+EXP(-$B$35*(2026-$B$34)))))</f>
        <v>2.34414124999018</v>
      </c>
      <c r="E12" s="76" t="n">
        <f aca="false">E11-J11+D12+J12</f>
        <v>19.3640801984376</v>
      </c>
      <c r="F12" s="76" t="n">
        <f aca="false">MAX($B$37,Inputs!$B$32*(1+$B$36)^B12)</f>
        <v>39.0654668509375</v>
      </c>
      <c r="G12" s="24" t="n">
        <f aca="false">D12*F12</f>
        <v>91.5749722954065</v>
      </c>
      <c r="H12" s="75" t="n">
        <f aca="false">Inputs!$B$34+($B$39-Inputs!$B$34)*((1/(1+EXP(-$B$41*($A12-$B$40))))-(1/(1+EXP(-$B$41*(2026-$B$40)))))/(1-(1/(1+EXP(-$B$41*(2026-$B$40)))))</f>
        <v>3.52333670572641</v>
      </c>
      <c r="I12" s="24" t="n">
        <f aca="false">H12*$B$42*12/1000</f>
        <v>3.38240323749736</v>
      </c>
      <c r="J12" s="77" t="n">
        <f aca="false">Inputs!$B$35+($B$44-Inputs!$B$35)*((1/(1+EXP(-$B$46*($A12-$B$45))))-(1/(1+EXP(-$B$46*(2026-$B$45)))))/(1-(1/(1+EXP(-$B$46*(2026-$B$45)))))</f>
        <v>0.230661620691094</v>
      </c>
      <c r="K12" s="77" t="n">
        <f aca="false">(J12+J11)/2</f>
        <v>0.184726525574315</v>
      </c>
      <c r="L12" s="75" t="n">
        <f aca="false">MAX($B$48,Inputs!$B$36*(1-Inputs!$B$37)^B12)</f>
        <v>1.221759375</v>
      </c>
      <c r="M12" s="24" t="n">
        <f aca="false">K12*$B$47*L12</f>
        <v>11.2845682215798</v>
      </c>
      <c r="N12" s="77" t="n">
        <f aca="false">Inputs!$B$39+($B$50-Inputs!$B$39)*((1/(1+EXP(-$B$52*($A12-$B$51))))-(1/(1+EXP(-$B$52*(2026-$B$51)))))/(1-(1/(1+EXP(-$B$52*(2026-$B$51)))))</f>
        <v>0.0685753237877884</v>
      </c>
      <c r="O12" s="75" t="n">
        <f aca="false">O11+N12</f>
        <v>0.154281675077071</v>
      </c>
      <c r="P12" s="76" t="n">
        <f aca="false">MAX($B$53,Inputs!$B$40*(1-Inputs!$B$41)^B12)</f>
        <v>35.819648</v>
      </c>
      <c r="Q12" s="24" t="n">
        <f aca="false">N12*P12</f>
        <v>2.45634395956461</v>
      </c>
      <c r="R12" s="22" t="n">
        <f aca="false">Inputs!$B$43+($B$55-Inputs!$B$43)*((1/(1+EXP(-$B$57*($A12-$B$56))))-(1/(1+EXP(-$B$57*(2026-$B$56)))))/(1-(1/(1+EXP(-$B$57*(2026-$B$56)))))</f>
        <v>121.859046538095</v>
      </c>
      <c r="S12" s="73" t="n">
        <f aca="false">MAX($B$58,Inputs!$B$44*(1-Inputs!$B$45)^B12)</f>
        <v>208.0899072</v>
      </c>
      <c r="T12" s="24" t="n">
        <f aca="false">R12*S12/1000</f>
        <v>25.3576376855927</v>
      </c>
      <c r="U12" s="24" t="n">
        <f aca="false">U11*(1+$B$60*Inputs!$B$48^(B12-1))</f>
        <v>24.6987830315466</v>
      </c>
      <c r="V12" s="78" t="n">
        <f aca="false">G12+I12+M12+Q12+T12+U12</f>
        <v>158.754708431188</v>
      </c>
      <c r="W12" s="24" t="n">
        <f aca="false">G12*(Inputs!$B$33+($B$38-Inputs!$B$33)*C12)+I12*$B$43+M12*(Inputs!$B$38+($B$49-Inputs!$B$38)*C12)+Q12*(Inputs!$B$42+($B$54-Inputs!$B$42)*C12)+T12*(Inputs!$B$46+($B$59-Inputs!$B$46)*C12)+U12*$B$61-V12*Inputs!$B$49</f>
        <v>24.3784904932709</v>
      </c>
      <c r="X12" s="24" t="n">
        <f aca="false">(W12-V12*(Inputs!$B$50+Inputs!$B$51))*(1-Inputs!$B$52)</f>
        <v>6.71738552362022</v>
      </c>
      <c r="Y12" s="76" t="n">
        <f aca="false">$B$62+($B$63-$B$62)*MIN(1,MAX(0,(A12-2027)/(Inputs!$B$26-2027)))</f>
        <v>25.9090909090909</v>
      </c>
      <c r="Z12" s="77" t="n">
        <f aca="false">Inputs!$B$11*(1+$B$64)^B12</f>
        <v>4.10991485588145</v>
      </c>
      <c r="AA12" s="22" t="n">
        <f aca="false">MIN(1,B12/Inputs!$B$25)*(W13*Y12+Inputs!$B$28)+(1-MIN(1,B12/Inputs!$B$25))*Inputs!$B$9*Inputs!$B$11</f>
        <v>842.949263459419</v>
      </c>
      <c r="AB12" s="79" t="n">
        <f aca="false">AA12/Z12</f>
        <v>205.10139334228</v>
      </c>
      <c r="AC12" s="22" t="n">
        <f aca="false">Inputs!$B$53+($B$65-Inputs!$B$53)*((1/(1+EXP(-$B$67*($A12-$B$66))))-(1/(1+EXP(-$B$67*(2026-$B$66)))))/(1-(1/(1+EXP(-$B$67*(2026-$B$66)))))</f>
        <v>210.829458646179</v>
      </c>
      <c r="AD12" s="22" t="n">
        <f aca="false">AC12*(Inputs!$B$54+($B$68-Inputs!$B$54)*C12)</f>
        <v>80.8179591477019</v>
      </c>
      <c r="AE12" s="75" t="n">
        <f aca="false">Inputs!$B$13*(1+$B$69)^B12</f>
        <v>14.6886044112</v>
      </c>
      <c r="AF12" s="22" t="n">
        <f aca="false">MIN(1,B12/Inputs!$B$25)*(AD13*Y12)+(1-MIN(1,B12/Inputs!$B$25))*Inputs!$B$12*Inputs!$B$13</f>
        <v>2957.96048881808</v>
      </c>
      <c r="AG12" s="19" t="n">
        <f aca="false">AF12/AE12</f>
        <v>201.377912156355</v>
      </c>
      <c r="AH12" s="73" t="n">
        <f aca="false">IF(AND(Inputs!$B$19="Yes",A12&gt;=$B$5),1,0)</f>
        <v>1</v>
      </c>
      <c r="AI12" s="22" t="n">
        <f aca="false">(AA12+AF12)*(1+IF(AH12=1,$B$70*MIN(1,(A12-$B$5+1)/3),0))</f>
        <v>3800.9097522775</v>
      </c>
      <c r="AJ12" s="75" t="n">
        <f aca="false">AE12+Z12*$B$4</f>
        <v>24.2870229884906</v>
      </c>
      <c r="AK12" s="58" t="n">
        <f aca="false">IF(AH12=1,Z12*$B$4/AJ12,1)</f>
        <v>0.395207703382962</v>
      </c>
      <c r="AL12" s="79" t="n">
        <f aca="false">IF(AH12=1,$B$4*AI12/AJ12,AB12)</f>
        <v>365.493901123976</v>
      </c>
      <c r="AM12" s="19" t="n">
        <f aca="false">AL12*Holdings!$D$15</f>
        <v>134677.192686163</v>
      </c>
      <c r="AN12" s="80" t="n">
        <f aca="false">AM12/Inputs!$B$14</f>
        <v>101804.514843271</v>
      </c>
      <c r="AO12" s="21" t="n">
        <f aca="false">AN12/(1+Inputs!$B$17)^B12</f>
        <v>92229.8658657872</v>
      </c>
      <c r="AP12" s="20" t="n">
        <f aca="false">AL12/Inputs!$B$9</f>
        <v>0.974650402997269</v>
      </c>
    </row>
    <row r="13" customFormat="false" ht="15" hidden="false" customHeight="false" outlineLevel="0" collapsed="false">
      <c r="A13" s="73" t="n">
        <v>2031</v>
      </c>
      <c r="B13" s="73" t="n">
        <f aca="false">A13-2026</f>
        <v>5</v>
      </c>
      <c r="C13" s="74" t="n">
        <f aca="false">MIN(1,B13/Inputs!$B$27)</f>
        <v>0.833333333333333</v>
      </c>
      <c r="D13" s="75" t="n">
        <f aca="false">Inputs!$B$30+($B$33-Inputs!$B$30)*((1/(1+EXP(-$B$35*($A13-$B$34))))-(1/(1+EXP(-$B$35*(2026-$B$34)))))/(1-(1/(1+EXP(-$B$35*(2026-$B$34)))))</f>
        <v>2.56347141922172</v>
      </c>
      <c r="E13" s="76" t="n">
        <f aca="false">E12-J12+D13+J13</f>
        <v>22.0583286442579</v>
      </c>
      <c r="F13" s="76" t="n">
        <f aca="false">MAX($B$37,Inputs!$B$32*(1+$B$36)^B13)</f>
        <v>38.4794848481734</v>
      </c>
      <c r="G13" s="24" t="n">
        <f aca="false">D13*F13</f>
        <v>98.6410596346679</v>
      </c>
      <c r="H13" s="75" t="n">
        <f aca="false">Inputs!$B$34+($B$39-Inputs!$B$34)*((1/(1+EXP(-$B$41*($A13-$B$40))))-(1/(1+EXP(-$B$41*(2026-$B$40)))))/(1-(1/(1+EXP(-$B$41*(2026-$B$40)))))</f>
        <v>4.46229859114265</v>
      </c>
      <c r="I13" s="24" t="n">
        <f aca="false">H13*$B$42*12/1000</f>
        <v>4.28380664749695</v>
      </c>
      <c r="J13" s="77" t="n">
        <f aca="false">Inputs!$B$35+($B$44-Inputs!$B$35)*((1/(1+EXP(-$B$46*($A13-$B$45))))-(1/(1+EXP(-$B$46*(2026-$B$45)))))/(1-(1/(1+EXP(-$B$46*(2026-$B$45)))))</f>
        <v>0.36143864728971</v>
      </c>
      <c r="K13" s="77" t="n">
        <f aca="false">(J13+J12)/2</f>
        <v>0.296050133990402</v>
      </c>
      <c r="L13" s="75" t="n">
        <f aca="false">MAX($B$48,Inputs!$B$36*(1-Inputs!$B$37)^B13)</f>
        <v>1.16067140625</v>
      </c>
      <c r="M13" s="24" t="n">
        <f aca="false">K13*$B$47*L13</f>
        <v>17.180846266957</v>
      </c>
      <c r="N13" s="77" t="n">
        <f aca="false">Inputs!$B$39+($B$50-Inputs!$B$39)*((1/(1+EXP(-$B$52*($A13-$B$51))))-(1/(1+EXP(-$B$52*(2026-$B$51)))))/(1-(1/(1+EXP(-$B$52*(2026-$B$51)))))</f>
        <v>0.106426329733648</v>
      </c>
      <c r="O13" s="75" t="n">
        <f aca="false">O12+N13</f>
        <v>0.26070800481072</v>
      </c>
      <c r="P13" s="76" t="n">
        <f aca="false">MAX($B$53,Inputs!$B$40*(1-Inputs!$B$41)^B13)</f>
        <v>32.95407616</v>
      </c>
      <c r="Q13" s="24" t="n">
        <f aca="false">N13*P13</f>
        <v>3.50718137547192</v>
      </c>
      <c r="R13" s="22" t="n">
        <f aca="false">Inputs!$B$43+($B$55-Inputs!$B$43)*((1/(1+EXP(-$B$57*($A13-$B$56))))-(1/(1+EXP(-$B$57*(2026-$B$56)))))/(1-(1/(1+EXP(-$B$57*(2026-$B$56)))))</f>
        <v>150.544710676254</v>
      </c>
      <c r="S13" s="73" t="n">
        <f aca="false">MAX($B$58,Inputs!$B$44*(1-Inputs!$B$45)^B13)</f>
        <v>199.766310912</v>
      </c>
      <c r="T13" s="24" t="n">
        <f aca="false">R13*S13/1000</f>
        <v>30.0737614791096</v>
      </c>
      <c r="U13" s="24" t="n">
        <f aca="false">U12*(1+$B$60*Inputs!$B$48^(B13-1))</f>
        <v>26.5463804606769</v>
      </c>
      <c r="V13" s="78" t="n">
        <f aca="false">G13+I13+M13+Q13+T13+U13</f>
        <v>180.23303586438</v>
      </c>
      <c r="W13" s="24" t="n">
        <f aca="false">G13*(Inputs!$B$33+($B$38-Inputs!$B$33)*C13)+I13*$B$43+M13*(Inputs!$B$38+($B$49-Inputs!$B$38)*C13)+Q13*(Inputs!$B$42+($B$54-Inputs!$B$42)*C13)+T13*(Inputs!$B$46+($B$59-Inputs!$B$46)*C13)+U13*$B$61-V13*Inputs!$B$49</f>
        <v>31.0797961335214</v>
      </c>
      <c r="X13" s="24" t="n">
        <f aca="false">(W13-V13*(Inputs!$B$50+Inputs!$B$51))*(1-Inputs!$B$52)</f>
        <v>10.3146291121959</v>
      </c>
      <c r="Y13" s="76" t="n">
        <f aca="false">$B$62+($B$63-$B$62)*MIN(1,MAX(0,(A13-2027)/(Inputs!$B$26-2027)))</f>
        <v>24.5454545454545</v>
      </c>
      <c r="Z13" s="77" t="n">
        <f aca="false">Inputs!$B$11*(1+$B$64)^B13</f>
        <v>4.15101400444027</v>
      </c>
      <c r="AA13" s="22" t="n">
        <f aca="false">MIN(1,B13/Inputs!$B$25)*(W14*Y13+Inputs!$B$28)+(1-MIN(1,B13/Inputs!$B$25))*Inputs!$B$9*Inputs!$B$11</f>
        <v>1027.66066667628</v>
      </c>
      <c r="AB13" s="79" t="n">
        <f aca="false">AA13/Z13</f>
        <v>247.568585790608</v>
      </c>
      <c r="AC13" s="22" t="n">
        <f aca="false">Inputs!$B$53+($B$65-Inputs!$B$53)*((1/(1+EXP(-$B$67*($A13-$B$66))))-(1/(1+EXP(-$B$67*(2026-$B$66)))))/(1-(1/(1+EXP(-$B$67*(2026-$B$66)))))</f>
        <v>291.489947386328</v>
      </c>
      <c r="AD13" s="22" t="n">
        <f aca="false">AC13*(Inputs!$B$54+($B$68-Inputs!$B$54)*C13)</f>
        <v>114.166896059645</v>
      </c>
      <c r="AE13" s="75" t="n">
        <f aca="false">Inputs!$B$13*(1+$B$69)^B13</f>
        <v>14.982376499424</v>
      </c>
      <c r="AF13" s="22" t="n">
        <f aca="false">MIN(1,B13/Inputs!$B$25)*(AD14*Y13)+(1-MIN(1,B13/Inputs!$B$25))*Inputs!$B$12*Inputs!$B$13</f>
        <v>3782.24944754502</v>
      </c>
      <c r="AG13" s="19" t="n">
        <f aca="false">AF13/AE13</f>
        <v>252.446562645814</v>
      </c>
      <c r="AH13" s="73" t="n">
        <f aca="false">IF(AND(Inputs!$B$19="Yes",A13&gt;=$B$5),1,0)</f>
        <v>1</v>
      </c>
      <c r="AI13" s="22" t="n">
        <f aca="false">(AA13+AF13)*(1+IF(AH13=1,$B$70*MIN(1,(A13-$B$5+1)/3),0))</f>
        <v>4809.9101142213</v>
      </c>
      <c r="AJ13" s="75" t="n">
        <f aca="false">AE13+Z13*$B$4</f>
        <v>24.6767792624875</v>
      </c>
      <c r="AK13" s="58" t="n">
        <f aca="false">IF(AH13=1,Z13*$B$4/AJ13,1)</f>
        <v>0.392855269317923</v>
      </c>
      <c r="AL13" s="79" t="n">
        <f aca="false">IF(AH13=1,$B$4*AI13/AJ13,AB13)</f>
        <v>455.213721586134</v>
      </c>
      <c r="AM13" s="19" t="n">
        <f aca="false">AL13*Holdings!$D$15</f>
        <v>167737.152130059</v>
      </c>
      <c r="AN13" s="80" t="n">
        <f aca="false">AM13/Inputs!$B$14</f>
        <v>126795.035248362</v>
      </c>
      <c r="AO13" s="21" t="n">
        <f aca="false">AN13/(1+Inputs!$B$17)^B13</f>
        <v>112068.335551865</v>
      </c>
      <c r="AP13" s="20" t="n">
        <f aca="false">AL13/Inputs!$B$9</f>
        <v>1.21390325756302</v>
      </c>
    </row>
    <row r="14" customFormat="false" ht="15" hidden="false" customHeight="false" outlineLevel="0" collapsed="false">
      <c r="A14" s="73" t="n">
        <v>2032</v>
      </c>
      <c r="B14" s="73" t="n">
        <f aca="false">A14-2026</f>
        <v>6</v>
      </c>
      <c r="C14" s="74" t="n">
        <f aca="false">MIN(1,B14/Inputs!$B$27)</f>
        <v>1</v>
      </c>
      <c r="D14" s="75" t="n">
        <f aca="false">Inputs!$B$30+($B$33-Inputs!$B$30)*((1/(1+EXP(-$B$35*($A14-$B$34))))-(1/(1+EXP(-$B$35*(2026-$B$34)))))/(1-(1/(1+EXP(-$B$35*(2026-$B$34)))))</f>
        <v>2.82092453266466</v>
      </c>
      <c r="E14" s="76" t="n">
        <f aca="false">E13-J13+D14+J14</f>
        <v>25.0615431360298</v>
      </c>
      <c r="F14" s="76" t="n">
        <f aca="false">MAX($B$37,Inputs!$B$32*(1+$B$36)^B14)</f>
        <v>37.9022925754508</v>
      </c>
      <c r="G14" s="24" t="n">
        <f aca="false">D14*F14</f>
        <v>106.919506970323</v>
      </c>
      <c r="H14" s="75" t="n">
        <f aca="false">Inputs!$B$34+($B$39-Inputs!$B$34)*((1/(1+EXP(-$B$41*($A14-$B$40))))-(1/(1+EXP(-$B$41*(2026-$B$40)))))/(1-(1/(1+EXP(-$B$41*(2026-$B$40)))))</f>
        <v>5.66205881341176</v>
      </c>
      <c r="I14" s="24" t="n">
        <f aca="false">H14*$B$42*12/1000</f>
        <v>5.43557646087529</v>
      </c>
      <c r="J14" s="77" t="n">
        <f aca="false">Inputs!$B$35+($B$44-Inputs!$B$35)*((1/(1+EXP(-$B$46*($A14-$B$45))))-(1/(1+EXP(-$B$46*(2026-$B$45)))))/(1-(1/(1+EXP(-$B$46*(2026-$B$45)))))</f>
        <v>0.543728606396948</v>
      </c>
      <c r="K14" s="77" t="n">
        <f aca="false">(J14+J13)/2</f>
        <v>0.452583626843329</v>
      </c>
      <c r="L14" s="75" t="n">
        <f aca="false">MAX($B$48,Inputs!$B$36*(1-Inputs!$B$37)^B14)</f>
        <v>1.1026378359375</v>
      </c>
      <c r="M14" s="24" t="n">
        <f aca="false">K14*$B$47*L14</f>
        <v>24.9517915441637</v>
      </c>
      <c r="N14" s="77" t="n">
        <f aca="false">Inputs!$B$39+($B$50-Inputs!$B$39)*((1/(1+EXP(-$B$52*($A14-$B$51))))-(1/(1+EXP(-$B$52*(2026-$B$51)))))/(1-(1/(1+EXP(-$B$52*(2026-$B$51)))))</f>
        <v>0.161110912742027</v>
      </c>
      <c r="O14" s="75" t="n">
        <f aca="false">O13+N14</f>
        <v>0.421818917552746</v>
      </c>
      <c r="P14" s="76" t="n">
        <f aca="false">MAX($B$53,Inputs!$B$40*(1-Inputs!$B$41)^B14)</f>
        <v>30.3177500672</v>
      </c>
      <c r="Q14" s="24" t="n">
        <f aca="false">N14*P14</f>
        <v>4.88452038561123</v>
      </c>
      <c r="R14" s="22" t="n">
        <f aca="false">Inputs!$B$43+($B$55-Inputs!$B$43)*((1/(1+EXP(-$B$57*($A14-$B$56))))-(1/(1+EXP(-$B$57*(2026-$B$56)))))/(1-(1/(1+EXP(-$B$57*(2026-$B$56)))))</f>
        <v>184.216382792419</v>
      </c>
      <c r="S14" s="73" t="n">
        <f aca="false">MAX($B$58,Inputs!$B$44*(1-Inputs!$B$45)^B14)</f>
        <v>191.77565847552</v>
      </c>
      <c r="T14" s="24" t="n">
        <f aca="false">R14*S14/1000</f>
        <v>35.3282181119946</v>
      </c>
      <c r="U14" s="24" t="n">
        <f aca="false">U13*(1+$B$60*Inputs!$B$48^(B14-1))</f>
        <v>28.3931812740274</v>
      </c>
      <c r="V14" s="78" t="n">
        <f aca="false">G14+I14+M14+Q14+T14+U14</f>
        <v>205.912794746995</v>
      </c>
      <c r="W14" s="24" t="n">
        <f aca="false">G14*(Inputs!$B$33+($B$38-Inputs!$B$33)*C14)+I14*$B$43+M14*(Inputs!$B$38+($B$49-Inputs!$B$38)*C14)+Q14*(Inputs!$B$42+($B$54-Inputs!$B$42)*C14)+T14*(Inputs!$B$46+($B$59-Inputs!$B$46)*C14)+U14*$B$61-V14*Inputs!$B$49</f>
        <v>40.3317308645893</v>
      </c>
      <c r="X14" s="24" t="n">
        <f aca="false">(W14-V14*(Inputs!$B$50+Inputs!$B$51))*(1-Inputs!$B$52)</f>
        <v>15.594956598013</v>
      </c>
      <c r="Y14" s="76" t="n">
        <f aca="false">$B$62+($B$63-$B$62)*MIN(1,MAX(0,(A14-2027)/(Inputs!$B$26-2027)))</f>
        <v>23.1818181818182</v>
      </c>
      <c r="Z14" s="77" t="n">
        <f aca="false">Inputs!$B$11*(1+$B$64)^B14</f>
        <v>4.19252414448467</v>
      </c>
      <c r="AA14" s="22" t="n">
        <f aca="false">MIN(1,B14/Inputs!$B$25)*(W15*Y14+Inputs!$B$28)+(1-MIN(1,B14/Inputs!$B$25))*Inputs!$B$9*Inputs!$B$11</f>
        <v>1176.00696730409</v>
      </c>
      <c r="AB14" s="79" t="n">
        <f aca="false">AA14/Z14</f>
        <v>280.500940907196</v>
      </c>
      <c r="AC14" s="22" t="n">
        <f aca="false">Inputs!$B$53+($B$65-Inputs!$B$53)*((1/(1+EXP(-$B$67*($A14-$B$66))))-(1/(1+EXP(-$B$67*(2026-$B$66)))))/(1-(1/(1+EXP(-$B$67*(2026-$B$66)))))</f>
        <v>385.229110398103</v>
      </c>
      <c r="AD14" s="22" t="n">
        <f aca="false">AC14*(Inputs!$B$54+($B$68-Inputs!$B$54)*C14)</f>
        <v>154.091644159241</v>
      </c>
      <c r="AE14" s="75" t="n">
        <f aca="false">Inputs!$B$13*(1+$B$69)^B14</f>
        <v>15.2820240294125</v>
      </c>
      <c r="AF14" s="22" t="n">
        <f aca="false">MIN(1,B14/Inputs!$B$25)*(AD15*Y14)+(1-MIN(1,B14/Inputs!$B$25))*Inputs!$B$12*Inputs!$B$13</f>
        <v>4511.8117116653</v>
      </c>
      <c r="AG14" s="19" t="n">
        <f aca="false">AF14/AE14</f>
        <v>295.236527765017</v>
      </c>
      <c r="AH14" s="73" t="n">
        <f aca="false">IF(AND(Inputs!$B$19="Yes",A14&gt;=$B$5),1,0)</f>
        <v>1</v>
      </c>
      <c r="AI14" s="22" t="n">
        <f aca="false">(AA14+AF14)*(1+IF(AH14=1,$B$70*MIN(1,(A14-$B$5+1)/3),0))</f>
        <v>5687.81867896938</v>
      </c>
      <c r="AJ14" s="75" t="n">
        <f aca="false">AE14+Z14*$B$4</f>
        <v>25.0733708201066</v>
      </c>
      <c r="AK14" s="58" t="n">
        <f aca="false">IF(AH14=1,Z14*$B$4/AJ14,1)</f>
        <v>0.390507796536169</v>
      </c>
      <c r="AL14" s="79" t="n">
        <f aca="false">IF(AH14=1,$B$4*AI14/AJ14,AB14)</f>
        <v>529.785270847763</v>
      </c>
      <c r="AM14" s="19" t="n">
        <f aca="false">AL14*Holdings!$D$15</f>
        <v>195215.276601984</v>
      </c>
      <c r="AN14" s="80" t="n">
        <f aca="false">AM14/Inputs!$B$14</f>
        <v>147566.162674415</v>
      </c>
      <c r="AO14" s="21" t="n">
        <f aca="false">AN14/(1+Inputs!$B$17)^B14</f>
        <v>127245.839595966</v>
      </c>
      <c r="AP14" s="20" t="n">
        <f aca="false">AL14/Inputs!$B$9</f>
        <v>1.4127607222607</v>
      </c>
    </row>
    <row r="15" customFormat="false" ht="15" hidden="false" customHeight="false" outlineLevel="0" collapsed="false">
      <c r="A15" s="73" t="n">
        <v>2033</v>
      </c>
      <c r="B15" s="73" t="n">
        <f aca="false">A15-2026</f>
        <v>7</v>
      </c>
      <c r="C15" s="74" t="n">
        <f aca="false">MIN(1,B15/Inputs!$B$27)</f>
        <v>1</v>
      </c>
      <c r="D15" s="75" t="n">
        <f aca="false">Inputs!$B$30+($B$33-Inputs!$B$30)*((1/(1+EXP(-$B$35*($A15-$B$34))))-(1/(1+EXP(-$B$35*(2026-$B$34)))))/(1-(1/(1+EXP(-$B$35*(2026-$B$34)))))</f>
        <v>3.11288900846811</v>
      </c>
      <c r="E15" s="76" t="n">
        <f aca="false">E14-J14+D15+J15</f>
        <v>28.4212212165472</v>
      </c>
      <c r="F15" s="76" t="n">
        <f aca="false">MAX($B$37,Inputs!$B$32*(1+$B$36)^B15)</f>
        <v>37.3337581868191</v>
      </c>
      <c r="G15" s="24" t="n">
        <f aca="false">D15*F15</f>
        <v>116.215845504555</v>
      </c>
      <c r="H15" s="75" t="n">
        <f aca="false">Inputs!$B$34+($B$39-Inputs!$B$34)*((1/(1+EXP(-$B$41*($A15-$B$40))))-(1/(1+EXP(-$B$41*(2026-$B$40)))))/(1-(1/(1+EXP(-$B$41*(2026-$B$40)))))</f>
        <v>7.14242190948815</v>
      </c>
      <c r="I15" s="24" t="n">
        <f aca="false">H15*$B$42*12/1000</f>
        <v>6.85672503310862</v>
      </c>
      <c r="J15" s="77" t="n">
        <f aca="false">Inputs!$B$35+($B$44-Inputs!$B$35)*((1/(1+EXP(-$B$46*($A15-$B$45))))-(1/(1+EXP(-$B$46*(2026-$B$45)))))/(1-(1/(1+EXP(-$B$46*(2026-$B$45)))))</f>
        <v>0.790517678446229</v>
      </c>
      <c r="K15" s="77" t="n">
        <f aca="false">(J15+J14)/2</f>
        <v>0.667123142421588</v>
      </c>
      <c r="L15" s="75" t="n">
        <f aca="false">MAX($B$48,Inputs!$B$36*(1-Inputs!$B$37)^B15)</f>
        <v>1.04750594414062</v>
      </c>
      <c r="M15" s="24" t="n">
        <f aca="false">K15*$B$47*L15</f>
        <v>34.9407728580193</v>
      </c>
      <c r="N15" s="77" t="n">
        <f aca="false">Inputs!$B$39+($B$50-Inputs!$B$39)*((1/(1+EXP(-$B$52*($A15-$B$51))))-(1/(1+EXP(-$B$52*(2026-$B$51)))))/(1-(1/(1+EXP(-$B$52*(2026-$B$51)))))</f>
        <v>0.238954304036199</v>
      </c>
      <c r="O15" s="75" t="n">
        <f aca="false">O14+N15</f>
        <v>0.660773221588945</v>
      </c>
      <c r="P15" s="76" t="n">
        <f aca="false">MAX($B$53,Inputs!$B$40*(1-Inputs!$B$41)^B15)</f>
        <v>27.892330061824</v>
      </c>
      <c r="Q15" s="24" t="n">
        <f aca="false">N15*P15</f>
        <v>6.66499231787111</v>
      </c>
      <c r="R15" s="22" t="n">
        <f aca="false">Inputs!$B$43+($B$55-Inputs!$B$43)*((1/(1+EXP(-$B$57*($A15-$B$56))))-(1/(1+EXP(-$B$57*(2026-$B$56)))))/(1-(1/(1+EXP(-$B$57*(2026-$B$56)))))</f>
        <v>222.401712802035</v>
      </c>
      <c r="S15" s="73" t="n">
        <f aca="false">MAX($B$58,Inputs!$B$44*(1-Inputs!$B$45)^B15)</f>
        <v>184.104632136499</v>
      </c>
      <c r="T15" s="24" t="n">
        <f aca="false">R15*S15/1000</f>
        <v>40.9451855219459</v>
      </c>
      <c r="U15" s="24" t="n">
        <f aca="false">U14*(1+$B$60*Inputs!$B$48^(B15-1))</f>
        <v>30.2301922301458</v>
      </c>
      <c r="V15" s="78" t="n">
        <f aca="false">G15+I15+M15+Q15+T15+U15</f>
        <v>235.853713465646</v>
      </c>
      <c r="W15" s="24" t="n">
        <f aca="false">G15*(Inputs!$B$33+($B$38-Inputs!$B$33)*C15)+I15*$B$43+M15*(Inputs!$B$38+($B$49-Inputs!$B$38)*C15)+Q15*(Inputs!$B$42+($B$54-Inputs!$B$42)*C15)+T15*(Inputs!$B$46+($B$59-Inputs!$B$46)*C15)+U15*$B$61-V15*Inputs!$B$49</f>
        <v>49.1034378052743</v>
      </c>
      <c r="X15" s="24" t="n">
        <f aca="false">(W15-V15*(Inputs!$B$50+Inputs!$B$51))*(1-Inputs!$B$52)</f>
        <v>20.1592725023807</v>
      </c>
      <c r="Y15" s="76" t="n">
        <f aca="false">$B$62+($B$63-$B$62)*MIN(1,MAX(0,(A15-2027)/(Inputs!$B$26-2027)))</f>
        <v>21.8181818181818</v>
      </c>
      <c r="Z15" s="77" t="n">
        <f aca="false">Inputs!$B$11*(1+$B$64)^B15</f>
        <v>4.23444938592951</v>
      </c>
      <c r="AA15" s="22" t="n">
        <f aca="false">MIN(1,B15/Inputs!$B$25)*(W16*Y15+Inputs!$B$28)+(1-MIN(1,B15/Inputs!$B$25))*Inputs!$B$9*Inputs!$B$11</f>
        <v>1337.11397091788</v>
      </c>
      <c r="AB15" s="79" t="n">
        <f aca="false">AA15/Z15</f>
        <v>315.770445942965</v>
      </c>
      <c r="AC15" s="22" t="n">
        <f aca="false">Inputs!$B$53+($B$65-Inputs!$B$53)*((1/(1+EXP(-$B$67*($A15-$B$66))))-(1/(1+EXP(-$B$67*(2026-$B$66)))))/(1-(1/(1+EXP(-$B$67*(2026-$B$66)))))</f>
        <v>486.567929689395</v>
      </c>
      <c r="AD15" s="22" t="n">
        <f aca="false">AC15*(Inputs!$B$54+($B$68-Inputs!$B$54)*C15)</f>
        <v>194.627171875758</v>
      </c>
      <c r="AE15" s="75" t="n">
        <f aca="false">Inputs!$B$13*(1+$B$69)^B15</f>
        <v>15.5876645100007</v>
      </c>
      <c r="AF15" s="22" t="n">
        <f aca="false">MIN(1,B15/Inputs!$B$25)*(AD16*Y15)+(1-MIN(1,B15/Inputs!$B$25))*Inputs!$B$12*Inputs!$B$13</f>
        <v>5130.82253655871</v>
      </c>
      <c r="AG15" s="19" t="n">
        <f aca="false">AF15/AE15</f>
        <v>329.159158722391</v>
      </c>
      <c r="AH15" s="73" t="n">
        <f aca="false">IF(AND(Inputs!$B$19="Yes",A15&gt;=$B$5),1,0)</f>
        <v>1</v>
      </c>
      <c r="AI15" s="22" t="n">
        <f aca="false">(AA15+AF15)*(1+IF(AH15=1,$B$70*MIN(1,(A15-$B$5+1)/3),0))</f>
        <v>6467.93650747659</v>
      </c>
      <c r="AJ15" s="75" t="n">
        <f aca="false">AE15+Z15*$B$4</f>
        <v>25.4769247686018</v>
      </c>
      <c r="AK15" s="58" t="n">
        <f aca="false">IF(AH15=1,Z15*$B$4/AJ15,1)</f>
        <v>0.388165382926779</v>
      </c>
      <c r="AL15" s="79" t="n">
        <f aca="false">IF(AH15=1,$B$4*AI15/AJ15,AB15)</f>
        <v>592.905670218474</v>
      </c>
      <c r="AM15" s="19" t="n">
        <f aca="false">AL15*Holdings!$D$15</f>
        <v>218473.881362103</v>
      </c>
      <c r="AN15" s="80" t="n">
        <f aca="false">AM15/Inputs!$B$14</f>
        <v>165147.691709202</v>
      </c>
      <c r="AO15" s="21" t="n">
        <f aca="false">AN15/(1+Inputs!$B$17)^B15</f>
        <v>138933.011689226</v>
      </c>
      <c r="AP15" s="20" t="n">
        <f aca="false">AL15/Inputs!$B$9</f>
        <v>1.58108178724926</v>
      </c>
    </row>
    <row r="16" customFormat="false" ht="15" hidden="false" customHeight="false" outlineLevel="0" collapsed="false">
      <c r="A16" s="73" t="n">
        <v>2034</v>
      </c>
      <c r="B16" s="73" t="n">
        <f aca="false">A16-2026</f>
        <v>8</v>
      </c>
      <c r="C16" s="74" t="n">
        <f aca="false">MIN(1,B16/Inputs!$B$27)</f>
        <v>1</v>
      </c>
      <c r="D16" s="75" t="n">
        <f aca="false">Inputs!$B$30+($B$33-Inputs!$B$30)*((1/(1+EXP(-$B$35*($A16-$B$34))))-(1/(1+EXP(-$B$35*(2026-$B$34)))))/(1-(1/(1+EXP(-$B$35*(2026-$B$34)))))</f>
        <v>3.43132795529424</v>
      </c>
      <c r="E16" s="76" t="n">
        <f aca="false">E15-J15+D16+J16</f>
        <v>32.1737862963923</v>
      </c>
      <c r="F16" s="76" t="n">
        <f aca="false">MAX($B$37,Inputs!$B$32*(1+$B$36)^B16)</f>
        <v>36.7737518140168</v>
      </c>
      <c r="G16" s="24" t="n">
        <f aca="false">D16*F16</f>
        <v>126.182802620488</v>
      </c>
      <c r="H16" s="75" t="n">
        <f aca="false">Inputs!$B$34+($B$39-Inputs!$B$34)*((1/(1+EXP(-$B$41*($A16-$B$40))))-(1/(1+EXP(-$B$41*(2026-$B$40)))))/(1-(1/(1+EXP(-$B$41*(2026-$B$40)))))</f>
        <v>8.89225210817507</v>
      </c>
      <c r="I16" s="24" t="n">
        <f aca="false">H16*$B$42*12/1000</f>
        <v>8.53656202384807</v>
      </c>
      <c r="J16" s="77" t="n">
        <f aca="false">Inputs!$B$35+($B$44-Inputs!$B$35)*((1/(1+EXP(-$B$46*($A16-$B$45))))-(1/(1+EXP(-$B$46*(2026-$B$45)))))/(1-(1/(1+EXP(-$B$46*(2026-$B$45)))))</f>
        <v>1.11175480299714</v>
      </c>
      <c r="K16" s="77" t="n">
        <f aca="false">(J16+J15)/2</f>
        <v>0.951136240721686</v>
      </c>
      <c r="L16" s="75" t="n">
        <f aca="false">MAX($B$48,Inputs!$B$36*(1-Inputs!$B$37)^B16)</f>
        <v>1</v>
      </c>
      <c r="M16" s="24" t="n">
        <f aca="false">K16*$B$47*L16</f>
        <v>47.5568120360843</v>
      </c>
      <c r="N16" s="77" t="n">
        <f aca="false">Inputs!$B$39+($B$50-Inputs!$B$39)*((1/(1+EXP(-$B$52*($A16-$B$51))))-(1/(1+EXP(-$B$52*(2026-$B$51)))))/(1-(1/(1+EXP(-$B$52*(2026-$B$51)))))</f>
        <v>0.347460124858505</v>
      </c>
      <c r="O16" s="75" t="n">
        <f aca="false">O15+N16</f>
        <v>1.00823334644745</v>
      </c>
      <c r="P16" s="76" t="n">
        <f aca="false">MAX($B$53,Inputs!$B$40*(1-Inputs!$B$41)^B16)</f>
        <v>25.6609436568781</v>
      </c>
      <c r="Q16" s="24" t="n">
        <f aca="false">N16*P16</f>
        <v>8.91615468700592</v>
      </c>
      <c r="R16" s="22" t="n">
        <f aca="false">Inputs!$B$43+($B$55-Inputs!$B$43)*((1/(1+EXP(-$B$57*($A16-$B$56))))-(1/(1+EXP(-$B$57*(2026-$B$56)))))/(1-(1/(1+EXP(-$B$57*(2026-$B$56)))))</f>
        <v>264.049575059963</v>
      </c>
      <c r="S16" s="73" t="n">
        <f aca="false">MAX($B$58,Inputs!$B$44*(1-Inputs!$B$45)^B16)</f>
        <v>176.740446851039</v>
      </c>
      <c r="T16" s="24" t="n">
        <f aca="false">R16*S16/1000</f>
        <v>46.6682398869248</v>
      </c>
      <c r="U16" s="24" t="n">
        <f aca="false">U15*(1+$B$60*Inputs!$B$48^(B16-1))</f>
        <v>32.0491455284971</v>
      </c>
      <c r="V16" s="78" t="n">
        <f aca="false">G16+I16+M16+Q16+T16+U16</f>
        <v>269.909716782848</v>
      </c>
      <c r="W16" s="24" t="n">
        <f aca="false">G16*(Inputs!$B$33+($B$38-Inputs!$B$33)*C16)+I16*$B$43+M16*(Inputs!$B$38+($B$49-Inputs!$B$38)*C16)+Q16*(Inputs!$B$42+($B$54-Inputs!$B$42)*C16)+T16*(Inputs!$B$46+($B$59-Inputs!$B$46)*C16)+U16*$B$61-V16*Inputs!$B$49</f>
        <v>59.5564736670694</v>
      </c>
      <c r="X16" s="24" t="n">
        <f aca="false">(W16-V16*(Inputs!$B$50+Inputs!$B$51))*(1-Inputs!$B$52)</f>
        <v>25.7267465711399</v>
      </c>
      <c r="Y16" s="76" t="n">
        <f aca="false">$B$62+($B$63-$B$62)*MIN(1,MAX(0,(A16-2027)/(Inputs!$B$26-2027)))</f>
        <v>20.4545454545455</v>
      </c>
      <c r="Z16" s="77" t="n">
        <f aca="false">Inputs!$B$11*(1+$B$64)^B16</f>
        <v>4.27679387978881</v>
      </c>
      <c r="AA16" s="22" t="n">
        <f aca="false">MIN(1,B16/Inputs!$B$25)*(W17*Y16+Inputs!$B$28)+(1-MIN(1,B16/Inputs!$B$25))*Inputs!$B$9*Inputs!$B$11</f>
        <v>1531.76911565842</v>
      </c>
      <c r="AB16" s="79" t="n">
        <f aca="false">AA16/Z16</f>
        <v>358.158274331908</v>
      </c>
      <c r="AC16" s="22" t="n">
        <f aca="false">Inputs!$B$53+($B$65-Inputs!$B$53)*((1/(1+EXP(-$B$67*($A16-$B$66))))-(1/(1+EXP(-$B$67*(2026-$B$66)))))/(1-(1/(1+EXP(-$B$67*(2026-$B$66)))))</f>
        <v>587.906748980686</v>
      </c>
      <c r="AD16" s="22" t="n">
        <f aca="false">AC16*(Inputs!$B$54+($B$68-Inputs!$B$54)*C16)</f>
        <v>235.162699592274</v>
      </c>
      <c r="AE16" s="75" t="n">
        <f aca="false">Inputs!$B$13*(1+$B$69)^B16</f>
        <v>15.8994178002007</v>
      </c>
      <c r="AF16" s="22" t="n">
        <f aca="false">MIN(1,B16/Inputs!$B$25)*(AD17*Y16)+(1-MIN(1,B16/Inputs!$B$25))*Inputs!$B$12*Inputs!$B$13</f>
        <v>5577.10291630195</v>
      </c>
      <c r="AG16" s="19" t="n">
        <f aca="false">AF16/AE16</f>
        <v>350.77403376566</v>
      </c>
      <c r="AH16" s="73" t="n">
        <f aca="false">IF(AND(Inputs!$B$19="Yes",A16&gt;=$B$5),1,0)</f>
        <v>1</v>
      </c>
      <c r="AI16" s="22" t="n">
        <f aca="false">(AA16+AF16)*(1+IF(AH16=1,$B$70*MIN(1,(A16-$B$5+1)/3),0))</f>
        <v>7108.87203196037</v>
      </c>
      <c r="AJ16" s="75" t="n">
        <f aca="false">AE16+Z16*$B$4</f>
        <v>25.8875706613878</v>
      </c>
      <c r="AK16" s="58" t="n">
        <f aca="false">IF(AH16=1,Z16*$B$4/AJ16,1)</f>
        <v>0.385828125467359</v>
      </c>
      <c r="AL16" s="79" t="n">
        <f aca="false">IF(AH16=1,$B$4*AI16/AJ16,AB16)</f>
        <v>641.322179037079</v>
      </c>
      <c r="AM16" s="19" t="n">
        <f aca="false">AL16*Holdings!$D$15</f>
        <v>236314.396531583</v>
      </c>
      <c r="AN16" s="80" t="n">
        <f aca="false">AM16/Inputs!$B$14</f>
        <v>178633.605360634</v>
      </c>
      <c r="AO16" s="21" t="n">
        <f aca="false">AN16/(1+Inputs!$B$17)^B16</f>
        <v>146612.91903172</v>
      </c>
      <c r="AP16" s="20" t="n">
        <f aca="false">AL16/Inputs!$B$9</f>
        <v>1.71019247743221</v>
      </c>
    </row>
    <row r="17" customFormat="false" ht="15" hidden="false" customHeight="false" outlineLevel="0" collapsed="false">
      <c r="A17" s="73" t="n">
        <v>2035</v>
      </c>
      <c r="B17" s="73" t="n">
        <f aca="false">A17-2026</f>
        <v>9</v>
      </c>
      <c r="C17" s="74" t="n">
        <f aca="false">MIN(1,B17/Inputs!$B$27)</f>
        <v>1</v>
      </c>
      <c r="D17" s="75" t="n">
        <f aca="false">Inputs!$B$30+($B$33-Inputs!$B$30)*((1/(1+EXP(-$B$35*($A17-$B$34))))-(1/(1+EXP(-$B$35*(2026-$B$34)))))/(1-(1/(1+EXP(-$B$35*(2026-$B$34)))))</f>
        <v>3.76420445081022</v>
      </c>
      <c r="E17" s="76" t="n">
        <f aca="false">E16-J16+D17+J17</f>
        <v>36.3354051734858</v>
      </c>
      <c r="F17" s="76" t="n">
        <f aca="false">MAX($B$37,Inputs!$B$32*(1+$B$36)^B17)</f>
        <v>36.2221455368065</v>
      </c>
      <c r="G17" s="24" t="n">
        <f aca="false">D17*F17</f>
        <v>136.347561447543</v>
      </c>
      <c r="H17" s="75" t="n">
        <f aca="false">Inputs!$B$34+($B$39-Inputs!$B$34)*((1/(1+EXP(-$B$41*($A17-$B$40))))-(1/(1+EXP(-$B$41*(2026-$B$40)))))/(1-(1/(1+EXP(-$B$41*(2026-$B$40)))))</f>
        <v>10.858633660038</v>
      </c>
      <c r="I17" s="24" t="n">
        <f aca="false">H17*$B$42*12/1000</f>
        <v>10.4242883136365</v>
      </c>
      <c r="J17" s="77" t="n">
        <f aca="false">Inputs!$B$35+($B$44-Inputs!$B$35)*((1/(1+EXP(-$B$46*($A17-$B$45))))-(1/(1+EXP(-$B$46*(2026-$B$45)))))/(1-(1/(1+EXP(-$B$46*(2026-$B$45)))))</f>
        <v>1.50916922928042</v>
      </c>
      <c r="K17" s="77" t="n">
        <f aca="false">(J17+J16)/2</f>
        <v>1.31046201613878</v>
      </c>
      <c r="L17" s="75" t="n">
        <f aca="false">MAX($B$48,Inputs!$B$36*(1-Inputs!$B$37)^B17)</f>
        <v>1</v>
      </c>
      <c r="M17" s="24" t="n">
        <f aca="false">K17*$B$47*L17</f>
        <v>65.523100806939</v>
      </c>
      <c r="N17" s="77" t="n">
        <f aca="false">Inputs!$B$39+($B$50-Inputs!$B$39)*((1/(1+EXP(-$B$52*($A17-$B$51))))-(1/(1+EXP(-$B$52*(2026-$B$51)))))/(1-(1/(1+EXP(-$B$52*(2026-$B$51)))))</f>
        <v>0.494358236876455</v>
      </c>
      <c r="O17" s="75" t="n">
        <f aca="false">O16+N17</f>
        <v>1.5025915833239</v>
      </c>
      <c r="P17" s="76" t="n">
        <f aca="false">MAX($B$53,Inputs!$B$40*(1-Inputs!$B$41)^B17)</f>
        <v>25</v>
      </c>
      <c r="Q17" s="24" t="n">
        <f aca="false">N17*P17</f>
        <v>12.3589559219114</v>
      </c>
      <c r="R17" s="22" t="n">
        <f aca="false">Inputs!$B$43+($B$55-Inputs!$B$43)*((1/(1+EXP(-$B$57*($A17-$B$56))))-(1/(1+EXP(-$B$57*(2026-$B$56)))))/(1-(1/(1+EXP(-$B$57*(2026-$B$56)))))</f>
        <v>307.585689509309</v>
      </c>
      <c r="S17" s="73" t="n">
        <f aca="false">MAX($B$58,Inputs!$B$44*(1-Inputs!$B$45)^B17)</f>
        <v>169.670828976998</v>
      </c>
      <c r="T17" s="24" t="n">
        <f aca="false">R17*S17/1000</f>
        <v>52.1883189205058</v>
      </c>
      <c r="U17" s="24" t="n">
        <f aca="false">U16*(1+$B$60*Inputs!$B$48^(B17-1))</f>
        <v>33.8425574138026</v>
      </c>
      <c r="V17" s="78" t="n">
        <f aca="false">G17+I17+M17+Q17+T17+U17</f>
        <v>310.684782824338</v>
      </c>
      <c r="W17" s="24" t="n">
        <f aca="false">G17*(Inputs!$B$33+($B$38-Inputs!$B$33)*C17)+I17*$B$43+M17*(Inputs!$B$38+($B$49-Inputs!$B$38)*C17)+Q17*(Inputs!$B$42+($B$54-Inputs!$B$42)*C17)+T17*(Inputs!$B$46+($B$59-Inputs!$B$46)*C17)+U17*$B$61-V17*Inputs!$B$49</f>
        <v>73.0433789877451</v>
      </c>
      <c r="X17" s="24" t="n">
        <f aca="false">(W17-V17*(Inputs!$B$50+Inputs!$B$51))*(1-Inputs!$B$52)</f>
        <v>33.160171557196</v>
      </c>
      <c r="Y17" s="76" t="n">
        <f aca="false">$B$62+($B$63-$B$62)*MIN(1,MAX(0,(A17-2027)/(Inputs!$B$26-2027)))</f>
        <v>19.0909090909091</v>
      </c>
      <c r="Z17" s="77" t="n">
        <f aca="false">Inputs!$B$11*(1+$B$64)^B17</f>
        <v>4.3195618185867</v>
      </c>
      <c r="AA17" s="22" t="n">
        <f aca="false">MIN(1,B17/Inputs!$B$25)*(W18*Y17+Inputs!$B$28)+(1-MIN(1,B17/Inputs!$B$25))*Inputs!$B$9*Inputs!$B$11</f>
        <v>1727.8305968336</v>
      </c>
      <c r="AB17" s="79" t="n">
        <f aca="false">AA17/Z17</f>
        <v>400.001358794981</v>
      </c>
      <c r="AC17" s="22" t="n">
        <f aca="false">Inputs!$B$53+($B$65-Inputs!$B$53)*((1/(1+EXP(-$B$67*($A17-$B$66))))-(1/(1+EXP(-$B$67*(2026-$B$66)))))/(1-(1/(1+EXP(-$B$67*(2026-$B$66)))))</f>
        <v>681.645911992461</v>
      </c>
      <c r="AD17" s="22" t="n">
        <f aca="false">AC17*(Inputs!$B$54+($B$68-Inputs!$B$54)*C17)</f>
        <v>272.658364796984</v>
      </c>
      <c r="AE17" s="75" t="n">
        <f aca="false">Inputs!$B$13*(1+$B$69)^B17</f>
        <v>16.2174061562048</v>
      </c>
      <c r="AF17" s="22" t="n">
        <f aca="false">MIN(1,B17/Inputs!$B$25)*(AD18*Y17)+(1-MIN(1,B17/Inputs!$B$25))*Inputs!$B$12*Inputs!$B$13</f>
        <v>5821.24887832175</v>
      </c>
      <c r="AG17" s="19" t="n">
        <f aca="false">AF17/AE17</f>
        <v>358.950674494549</v>
      </c>
      <c r="AH17" s="73" t="n">
        <f aca="false">IF(AND(Inputs!$B$19="Yes",A17&gt;=$B$5),1,0)</f>
        <v>1</v>
      </c>
      <c r="AI17" s="22" t="n">
        <f aca="false">(AA17+AF17)*(1+IF(AH17=1,$B$70*MIN(1,(A17-$B$5+1)/3),0))</f>
        <v>7549.07947515535</v>
      </c>
      <c r="AJ17" s="75" t="n">
        <f aca="false">AE17+Z17*$B$4</f>
        <v>26.3054405460037</v>
      </c>
      <c r="AK17" s="58" t="n">
        <f aca="false">IF(AH17=1,Z17*$B$4/AJ17,1)</f>
        <v>0.383496120209684</v>
      </c>
      <c r="AL17" s="79" t="n">
        <f aca="false">IF(AH17=1,$B$4*AI17/AJ17,AB17)</f>
        <v>670.216751481485</v>
      </c>
      <c r="AM17" s="19" t="n">
        <f aca="false">AL17*Holdings!$D$15</f>
        <v>246961.468585898</v>
      </c>
      <c r="AN17" s="80" t="n">
        <f aca="false">AM17/Inputs!$B$14</f>
        <v>186681.887206817</v>
      </c>
      <c r="AO17" s="21" t="n">
        <f aca="false">AN17/(1+Inputs!$B$17)^B17</f>
        <v>149481.481715035</v>
      </c>
      <c r="AP17" s="20" t="n">
        <f aca="false">AL17/Inputs!$B$9</f>
        <v>1.78724467061729</v>
      </c>
    </row>
    <row r="18" customFormat="false" ht="15" hidden="false" customHeight="false" outlineLevel="0" collapsed="false">
      <c r="A18" s="73" t="n">
        <v>2036</v>
      </c>
      <c r="B18" s="73" t="n">
        <f aca="false">A18-2026</f>
        <v>10</v>
      </c>
      <c r="C18" s="74" t="n">
        <f aca="false">MIN(1,B18/Inputs!$B$27)</f>
        <v>1</v>
      </c>
      <c r="D18" s="75" t="n">
        <f aca="false">Inputs!$B$30+($B$33-Inputs!$B$30)*((1/(1+EXP(-$B$35*($A18-$B$34))))-(1/(1+EXP(-$B$35*(2026-$B$34)))))/(1-(1/(1+EXP(-$B$35*(2026-$B$34)))))</f>
        <v>4.09708094632621</v>
      </c>
      <c r="E18" s="76" t="n">
        <f aca="false">E17-J17+D18+J18</f>
        <v>40.8943392063785</v>
      </c>
      <c r="F18" s="76" t="n">
        <f aca="false">MAX($B$37,Inputs!$B$32*(1+$B$36)^B18)</f>
        <v>35.6788133537544</v>
      </c>
      <c r="G18" s="24" t="n">
        <f aca="false">D18*F18</f>
        <v>146.178986379196</v>
      </c>
      <c r="H18" s="75" t="n">
        <f aca="false">Inputs!$B$34+($B$39-Inputs!$B$34)*((1/(1+EXP(-$B$41*($A18-$B$40))))-(1/(1+EXP(-$B$41*(2026-$B$40)))))/(1-(1/(1+EXP(-$B$41*(2026-$B$40)))))</f>
        <v>12.9466906139589</v>
      </c>
      <c r="I18" s="24" t="n">
        <f aca="false">H18*$B$42*12/1000</f>
        <v>12.4288229894005</v>
      </c>
      <c r="J18" s="77" t="n">
        <f aca="false">Inputs!$B$35+($B$44-Inputs!$B$35)*((1/(1+EXP(-$B$46*($A18-$B$45))))-(1/(1+EXP(-$B$46*(2026-$B$45)))))/(1-(1/(1+EXP(-$B$46*(2026-$B$45)))))</f>
        <v>1.9710223158469</v>
      </c>
      <c r="K18" s="77" t="n">
        <f aca="false">(J18+J17)/2</f>
        <v>1.74009577256366</v>
      </c>
      <c r="L18" s="75" t="n">
        <f aca="false">MAX($B$48,Inputs!$B$36*(1-Inputs!$B$37)^B18)</f>
        <v>1</v>
      </c>
      <c r="M18" s="24" t="n">
        <f aca="false">K18*$B$47*L18</f>
        <v>87.0047886281828</v>
      </c>
      <c r="N18" s="77" t="n">
        <f aca="false">Inputs!$B$39+($B$50-Inputs!$B$39)*((1/(1+EXP(-$B$52*($A18-$B$51))))-(1/(1+EXP(-$B$52*(2026-$B$51)))))/(1-(1/(1+EXP(-$B$52*(2026-$B$51)))))</f>
        <v>0.685570622071457</v>
      </c>
      <c r="O18" s="75" t="n">
        <f aca="false">O17+N18</f>
        <v>2.18816220539536</v>
      </c>
      <c r="P18" s="76" t="n">
        <f aca="false">MAX($B$53,Inputs!$B$40*(1-Inputs!$B$41)^B18)</f>
        <v>25</v>
      </c>
      <c r="Q18" s="24" t="n">
        <f aca="false">N18*P18</f>
        <v>17.1392655517864</v>
      </c>
      <c r="R18" s="22" t="n">
        <f aca="false">Inputs!$B$43+($B$55-Inputs!$B$43)*((1/(1+EXP(-$B$57*($A18-$B$56))))-(1/(1+EXP(-$B$57*(2026-$B$56)))))/(1-(1/(1+EXP(-$B$57*(2026-$B$56)))))</f>
        <v>351.121803958655</v>
      </c>
      <c r="S18" s="73" t="n">
        <f aca="false">MAX($B$58,Inputs!$B$44*(1-Inputs!$B$45)^B18)</f>
        <v>162.883995817918</v>
      </c>
      <c r="T18" s="24" t="n">
        <f aca="false">R18*S18/1000</f>
        <v>57.1921224475812</v>
      </c>
      <c r="U18" s="24" t="n">
        <f aca="false">U17*(1+$B$60*Inputs!$B$48^(B18-1))</f>
        <v>35.6037616092843</v>
      </c>
      <c r="V18" s="78" t="n">
        <f aca="false">G18+I18+M18+Q18+T18+U18</f>
        <v>355.547747605432</v>
      </c>
      <c r="W18" s="24" t="n">
        <f aca="false">G18*(Inputs!$B$33+($B$38-Inputs!$B$33)*C18)+I18*$B$43+M18*(Inputs!$B$38+($B$49-Inputs!$B$38)*C18)+Q18*(Inputs!$B$42+($B$54-Inputs!$B$42)*C18)+T18*(Inputs!$B$46+($B$59-Inputs!$B$46)*C18)+U18*$B$61-V18*Inputs!$B$49</f>
        <v>88.5306503103314</v>
      </c>
      <c r="X18" s="24" t="n">
        <f aca="false">(W18-V18*(Inputs!$B$50+Inputs!$B$51))*(1-Inputs!$B$52)</f>
        <v>41.8509416843327</v>
      </c>
      <c r="Y18" s="76" t="n">
        <f aca="false">$B$62+($B$63-$B$62)*MIN(1,MAX(0,(A18-2027)/(Inputs!$B$26-2027)))</f>
        <v>17.7272727272727</v>
      </c>
      <c r="Z18" s="77" t="n">
        <f aca="false">Inputs!$B$11*(1+$B$64)^B18</f>
        <v>4.36275743677256</v>
      </c>
      <c r="AA18" s="22" t="n">
        <f aca="false">MIN(1,B18/Inputs!$B$25)*(W19*Y18+Inputs!$B$28)+(1-MIN(1,B18/Inputs!$B$25))*Inputs!$B$9*Inputs!$B$11</f>
        <v>1904.34553297235</v>
      </c>
      <c r="AB18" s="79" t="n">
        <f aca="false">AA18/Z18</f>
        <v>436.50043821394</v>
      </c>
      <c r="AC18" s="22" t="n">
        <f aca="false">Inputs!$B$53+($B$65-Inputs!$B$53)*((1/(1+EXP(-$B$67*($A18-$B$66))))-(1/(1+EXP(-$B$67*(2026-$B$66)))))/(1-(1/(1+EXP(-$B$67*(2026-$B$66)))))</f>
        <v>762.30640073261</v>
      </c>
      <c r="AD18" s="22" t="n">
        <f aca="false">AC18*(Inputs!$B$54+($B$68-Inputs!$B$54)*C18)</f>
        <v>304.922560293044</v>
      </c>
      <c r="AE18" s="75" t="n">
        <f aca="false">Inputs!$B$13*(1+$B$69)^B18</f>
        <v>16.5417542793289</v>
      </c>
      <c r="AF18" s="22" t="n">
        <f aca="false">MIN(1,B18/Inputs!$B$25)*(AD19*Y18)+(1-MIN(1,B18/Inputs!$B$25))*Inputs!$B$12*Inputs!$B$13</f>
        <v>5867.76771509182</v>
      </c>
      <c r="AG18" s="19" t="n">
        <f aca="false">AF18/AE18</f>
        <v>354.724632950471</v>
      </c>
      <c r="AH18" s="73" t="n">
        <f aca="false">IF(AND(Inputs!$B$19="Yes",A18&gt;=$B$5),1,0)</f>
        <v>1</v>
      </c>
      <c r="AI18" s="22" t="n">
        <f aca="false">(AA18+AF18)*(1+IF(AH18=1,$B$70*MIN(1,(A18-$B$5+1)/3),0))</f>
        <v>7772.11324806416</v>
      </c>
      <c r="AJ18" s="75" t="n">
        <f aca="false">AE18+Z18*$B$4</f>
        <v>26.7306690130258</v>
      </c>
      <c r="AK18" s="58" t="n">
        <f aca="false">IF(AH18=1,Z18*$B$4/AJ18,1)</f>
        <v>0.38116946226568</v>
      </c>
      <c r="AL18" s="79" t="n">
        <f aca="false">IF(AH18=1,$B$4*AI18/AJ18,AB18)</f>
        <v>679.041241775785</v>
      </c>
      <c r="AM18" s="19" t="n">
        <f aca="false">AL18*Holdings!$D$15</f>
        <v>250213.116769541</v>
      </c>
      <c r="AN18" s="80" t="n">
        <f aca="false">AM18/Inputs!$B$14</f>
        <v>189139.856957851</v>
      </c>
      <c r="AO18" s="21" t="n">
        <f aca="false">AN18/(1+Inputs!$B$17)^B18</f>
        <v>147755.753958106</v>
      </c>
      <c r="AP18" s="20" t="n">
        <f aca="false">AL18/Inputs!$B$9</f>
        <v>1.81077664473543</v>
      </c>
    </row>
    <row r="19" customFormat="false" ht="15" hidden="false" customHeight="false" outlineLevel="0" collapsed="false">
      <c r="A19" s="73" t="n">
        <v>2037</v>
      </c>
      <c r="B19" s="73" t="n">
        <f aca="false">A19-2026</f>
        <v>11</v>
      </c>
      <c r="C19" s="74" t="n">
        <f aca="false">MIN(1,B19/Inputs!$B$27)</f>
        <v>1</v>
      </c>
      <c r="D19" s="75" t="n">
        <f aca="false">Inputs!$B$30+($B$33-Inputs!$B$30)*((1/(1+EXP(-$B$35*($A19-$B$34))))-(1/(1+EXP(-$B$35*(2026-$B$34)))))/(1-(1/(1+EXP(-$B$35*(2026-$B$34)))))</f>
        <v>4.41551989315234</v>
      </c>
      <c r="E19" s="76" t="n">
        <f aca="false">E18-J18+D19+J19</f>
        <v>45.8091557112662</v>
      </c>
      <c r="F19" s="76" t="n">
        <f aca="false">MAX($B$37,Inputs!$B$32*(1+$B$36)^B19)</f>
        <v>35.1436311534481</v>
      </c>
      <c r="G19" s="24" t="n">
        <f aca="false">D19*F19</f>
        <v>155.177402475658</v>
      </c>
      <c r="H19" s="75" t="n">
        <f aca="false">Inputs!$B$34+($B$39-Inputs!$B$34)*((1/(1+EXP(-$B$41*($A19-$B$40))))-(1/(1+EXP(-$B$41*(2026-$B$40)))))/(1-(1/(1+EXP(-$B$41*(2026-$B$40)))))</f>
        <v>15.0347475678797</v>
      </c>
      <c r="I19" s="24" t="n">
        <f aca="false">H19*$B$42*12/1000</f>
        <v>14.4333576651645</v>
      </c>
      <c r="J19" s="77" t="n">
        <f aca="false">Inputs!$B$35+($B$44-Inputs!$B$35)*((1/(1+EXP(-$B$46*($A19-$B$45))))-(1/(1+EXP(-$B$46*(2026-$B$45)))))/(1-(1/(1+EXP(-$B$46*(2026-$B$45)))))</f>
        <v>2.47031892758223</v>
      </c>
      <c r="K19" s="77" t="n">
        <f aca="false">(J19+J18)/2</f>
        <v>2.22067062171456</v>
      </c>
      <c r="L19" s="75" t="n">
        <f aca="false">MAX($B$48,Inputs!$B$36*(1-Inputs!$B$37)^B19)</f>
        <v>1</v>
      </c>
      <c r="M19" s="24" t="n">
        <f aca="false">K19*$B$47*L19</f>
        <v>111.033531085728</v>
      </c>
      <c r="N19" s="77" t="n">
        <f aca="false">Inputs!$B$39+($B$50-Inputs!$B$39)*((1/(1+EXP(-$B$52*($A19-$B$51))))-(1/(1+EXP(-$B$52*(2026-$B$51)))))/(1-(1/(1+EXP(-$B$52*(2026-$B$51)))))</f>
        <v>0.922126594444706</v>
      </c>
      <c r="O19" s="75" t="n">
        <f aca="false">O18+N19</f>
        <v>3.11028879984007</v>
      </c>
      <c r="P19" s="76" t="n">
        <f aca="false">MAX($B$53,Inputs!$B$40*(1-Inputs!$B$41)^B19)</f>
        <v>25</v>
      </c>
      <c r="Q19" s="24" t="n">
        <f aca="false">N19*P19</f>
        <v>23.0531648611176</v>
      </c>
      <c r="R19" s="22" t="n">
        <f aca="false">Inputs!$B$43+($B$55-Inputs!$B$43)*((1/(1+EXP(-$B$57*($A19-$B$56))))-(1/(1+EXP(-$B$57*(2026-$B$56)))))/(1-(1/(1+EXP(-$B$57*(2026-$B$56)))))</f>
        <v>392.769666216583</v>
      </c>
      <c r="S19" s="73" t="n">
        <f aca="false">MAX($B$58,Inputs!$B$44*(1-Inputs!$B$45)^B19)</f>
        <v>156.368635985201</v>
      </c>
      <c r="T19" s="24" t="n">
        <f aca="false">R19*S19/1000</f>
        <v>61.4168569626497</v>
      </c>
      <c r="U19" s="24" t="n">
        <f aca="false">U18*(1+$B$60*Inputs!$B$48^(B19-1))</f>
        <v>37.3269206780766</v>
      </c>
      <c r="V19" s="78" t="n">
        <f aca="false">G19+I19+M19+Q19+T19+U19</f>
        <v>402.441233728395</v>
      </c>
      <c r="W19" s="24" t="n">
        <f aca="false">G19*(Inputs!$B$33+($B$38-Inputs!$B$33)*C19)+I19*$B$43+M19*(Inputs!$B$38+($B$49-Inputs!$B$38)*C19)+Q19*(Inputs!$B$42+($B$54-Inputs!$B$42)*C19)+T19*(Inputs!$B$46+($B$59-Inputs!$B$46)*C19)+U19*$B$61-V19*Inputs!$B$49</f>
        <v>105.29795314203</v>
      </c>
      <c r="X19" s="24" t="n">
        <f aca="false">(W19-V19*(Inputs!$B$50+Inputs!$B$51))*(1-Inputs!$B$52)</f>
        <v>51.3925255176605</v>
      </c>
      <c r="Y19" s="76" t="n">
        <f aca="false">$B$62+($B$63-$B$62)*MIN(1,MAX(0,(A19-2027)/(Inputs!$B$26-2027)))</f>
        <v>16.3636363636364</v>
      </c>
      <c r="Z19" s="77" t="n">
        <f aca="false">Inputs!$B$11*(1+$B$64)^B19</f>
        <v>4.40638501114029</v>
      </c>
      <c r="AA19" s="22" t="n">
        <f aca="false">MIN(1,B19/Inputs!$B$25)*(W20*Y19+Inputs!$B$28)+(1-MIN(1,B19/Inputs!$B$25))*Inputs!$B$9*Inputs!$B$11</f>
        <v>2039.90378599967</v>
      </c>
      <c r="AB19" s="79" t="n">
        <f aca="false">AA19/Z19</f>
        <v>462.942702655884</v>
      </c>
      <c r="AC19" s="22" t="n">
        <f aca="false">Inputs!$B$53+($B$65-Inputs!$B$53)*((1/(1+EXP(-$B$67*($A19-$B$66))))-(1/(1+EXP(-$B$67*(2026-$B$66)))))/(1-(1/(1+EXP(-$B$67*(2026-$B$66)))))</f>
        <v>827.505703410384</v>
      </c>
      <c r="AD19" s="22" t="n">
        <f aca="false">AC19*(Inputs!$B$54+($B$68-Inputs!$B$54)*C19)</f>
        <v>331.002281364154</v>
      </c>
      <c r="AE19" s="75" t="n">
        <f aca="false">Inputs!$B$13*(1+$B$69)^B19</f>
        <v>16.8725893649154</v>
      </c>
      <c r="AF19" s="22" t="n">
        <f aca="false">MIN(1,B19/Inputs!$B$25)*(AD20*Y19)+(1-MIN(1,B19/Inputs!$B$25))*Inputs!$B$12*Inputs!$B$13</f>
        <v>5744.25683291926</v>
      </c>
      <c r="AG19" s="19" t="n">
        <f aca="false">AF19/AE19</f>
        <v>340.449038892855</v>
      </c>
      <c r="AH19" s="73" t="n">
        <f aca="false">IF(AND(Inputs!$B$19="Yes",A19&gt;=$B$5),1,0)</f>
        <v>1</v>
      </c>
      <c r="AI19" s="22" t="n">
        <f aca="false">(AA19+AF19)*(1+IF(AH19=1,$B$70*MIN(1,(A19-$B$5+1)/3),0))</f>
        <v>7784.16061891893</v>
      </c>
      <c r="AJ19" s="75" t="n">
        <f aca="false">AE19+Z19*$B$4</f>
        <v>27.1633932459493</v>
      </c>
      <c r="AK19" s="58" t="n">
        <f aca="false">IF(AH19=1,Z19*$B$4/AJ19,1)</f>
        <v>0.378848245793757</v>
      </c>
      <c r="AL19" s="79" t="n">
        <f aca="false">IF(AH19=1,$B$4*AI19/AJ19,AB19)</f>
        <v>669.259628470624</v>
      </c>
      <c r="AM19" s="19" t="n">
        <f aca="false">AL19*Holdings!$D$15</f>
        <v>246608.787898856</v>
      </c>
      <c r="AN19" s="80" t="n">
        <f aca="false">AM19/Inputs!$B$14</f>
        <v>186415.290572875</v>
      </c>
      <c r="AO19" s="21" t="n">
        <f aca="false">AN19/(1+Inputs!$B$17)^B19</f>
        <v>142075.441027089</v>
      </c>
      <c r="AP19" s="20" t="n">
        <f aca="false">AL19/Inputs!$B$9</f>
        <v>1.78469234258833</v>
      </c>
    </row>
    <row r="20" customFormat="false" ht="15" hidden="false" customHeight="false" outlineLevel="0" collapsed="false">
      <c r="A20" s="73" t="n">
        <v>2038</v>
      </c>
      <c r="B20" s="73" t="n">
        <f aca="false">A20-2026</f>
        <v>12</v>
      </c>
      <c r="C20" s="74" t="n">
        <f aca="false">MIN(1,B20/Inputs!$B$27)</f>
        <v>1</v>
      </c>
      <c r="D20" s="75" t="n">
        <f aca="false">Inputs!$B$30+($B$33-Inputs!$B$30)*((1/(1+EXP(-$B$35*($A20-$B$34))))-(1/(1+EXP(-$B$35*(2026-$B$34)))))/(1-(1/(1+EXP(-$B$35*(2026-$B$34)))))</f>
        <v>4.70748436895579</v>
      </c>
      <c r="E20" s="76" t="n">
        <f aca="false">E19-J19+D20+J20</f>
        <v>51.0159366919573</v>
      </c>
      <c r="F20" s="76" t="n">
        <f aca="false">MAX($B$37,Inputs!$B$32*(1+$B$36)^B20)</f>
        <v>34.6164766861464</v>
      </c>
      <c r="G20" s="24" t="n">
        <f aca="false">D20*F20</f>
        <v>162.956522908357</v>
      </c>
      <c r="H20" s="75" t="n">
        <f aca="false">Inputs!$B$34+($B$39-Inputs!$B$34)*((1/(1+EXP(-$B$41*($A20-$B$40))))-(1/(1+EXP(-$B$41*(2026-$B$40)))))/(1-(1/(1+EXP(-$B$41*(2026-$B$40)))))</f>
        <v>17.0011291197427</v>
      </c>
      <c r="I20" s="24" t="n">
        <f aca="false">H20*$B$42*12/1000</f>
        <v>16.321083954953</v>
      </c>
      <c r="J20" s="77" t="n">
        <f aca="false">Inputs!$B$35+($B$44-Inputs!$B$35)*((1/(1+EXP(-$B$46*($A20-$B$45))))-(1/(1+EXP(-$B$46*(2026-$B$45)))))/(1-(1/(1+EXP(-$B$46*(2026-$B$45)))))</f>
        <v>2.96961553931757</v>
      </c>
      <c r="K20" s="77" t="n">
        <f aca="false">(J20+J19)/2</f>
        <v>2.7199672334499</v>
      </c>
      <c r="L20" s="75" t="n">
        <f aca="false">MAX($B$48,Inputs!$B$36*(1-Inputs!$B$37)^B20)</f>
        <v>1</v>
      </c>
      <c r="M20" s="24" t="n">
        <f aca="false">K20*$B$47*L20</f>
        <v>135.998361672495</v>
      </c>
      <c r="N20" s="77" t="n">
        <f aca="false">Inputs!$B$39+($B$50-Inputs!$B$39)*((1/(1+EXP(-$B$52*($A20-$B$51))))-(1/(1+EXP(-$B$52*(2026-$B$51)))))/(1-(1/(1+EXP(-$B$52*(2026-$B$51)))))</f>
        <v>1.19703887432366</v>
      </c>
      <c r="O20" s="75" t="n">
        <f aca="false">O19+N20</f>
        <v>4.30732767416372</v>
      </c>
      <c r="P20" s="76" t="n">
        <f aca="false">MAX($B$53,Inputs!$B$40*(1-Inputs!$B$41)^B20)</f>
        <v>25</v>
      </c>
      <c r="Q20" s="24" t="n">
        <f aca="false">N20*P20</f>
        <v>29.9259718580914</v>
      </c>
      <c r="R20" s="22" t="n">
        <f aca="false">Inputs!$B$43+($B$55-Inputs!$B$43)*((1/(1+EXP(-$B$57*($A20-$B$56))))-(1/(1+EXP(-$B$57*(2026-$B$56)))))/(1-(1/(1+EXP(-$B$57*(2026-$B$56)))))</f>
        <v>430.954996226198</v>
      </c>
      <c r="S20" s="73" t="n">
        <f aca="false">MAX($B$58,Inputs!$B$44*(1-Inputs!$B$45)^B20)</f>
        <v>150.113890545793</v>
      </c>
      <c r="T20" s="24" t="n">
        <f aca="false">R20*S20/1000</f>
        <v>64.6923311336621</v>
      </c>
      <c r="U20" s="24" t="n">
        <f aca="false">U19*(1+$B$60*Inputs!$B$48^(B20-1))</f>
        <v>39.0070186127163</v>
      </c>
      <c r="V20" s="78" t="n">
        <f aca="false">G20+I20+M20+Q20+T20+U20</f>
        <v>448.901290140274</v>
      </c>
      <c r="W20" s="24" t="n">
        <f aca="false">G20*(Inputs!$B$33+($B$38-Inputs!$B$33)*C20)+I20*$B$43+M20*(Inputs!$B$38+($B$49-Inputs!$B$38)*C20)+Q20*(Inputs!$B$42+($B$54-Inputs!$B$42)*C20)+T20*(Inputs!$B$46+($B$59-Inputs!$B$46)*C20)+U20*$B$61-V20*Inputs!$B$49</f>
        <v>122.356898033313</v>
      </c>
      <c r="X20" s="24" t="n">
        <f aca="false">(W20-V20*(Inputs!$B$50+Inputs!$B$51))*(1-Inputs!$B$52)</f>
        <v>61.1987475252355</v>
      </c>
      <c r="Y20" s="76" t="n">
        <f aca="false">$B$62+($B$63-$B$62)*MIN(1,MAX(0,(A20-2027)/(Inputs!$B$26-2027)))</f>
        <v>15</v>
      </c>
      <c r="Z20" s="77" t="n">
        <f aca="false">Inputs!$B$11*(1+$B$64)^B20</f>
        <v>4.45044886125169</v>
      </c>
      <c r="AA20" s="22" t="n">
        <f aca="false">MIN(1,B20/Inputs!$B$25)*(W21*Y20+Inputs!$B$28)+(1-MIN(1,B20/Inputs!$B$25))*Inputs!$B$9*Inputs!$B$11</f>
        <v>2116.55027977464</v>
      </c>
      <c r="AB20" s="79" t="n">
        <f aca="false">AA20/Z20</f>
        <v>475.581305562818</v>
      </c>
      <c r="AC20" s="22" t="n">
        <f aca="false">Inputs!$B$53+($B$65-Inputs!$B$53)*((1/(1+EXP(-$B$67*($A20-$B$66))))-(1/(1+EXP(-$B$67*(2026-$B$66)))))/(1-(1/(1+EXP(-$B$67*(2026-$B$66)))))</f>
        <v>877.594793918221</v>
      </c>
      <c r="AD20" s="22" t="n">
        <f aca="false">AC20*(Inputs!$B$54+($B$68-Inputs!$B$54)*C20)</f>
        <v>351.037917567288</v>
      </c>
      <c r="AE20" s="75" t="n">
        <f aca="false">Inputs!$B$13*(1+$B$69)^B20</f>
        <v>17.2100411522137</v>
      </c>
      <c r="AF20" s="22" t="n">
        <f aca="false">MIN(1,B20/Inputs!$B$25)*(AD21*Y20)+(1-MIN(1,B20/Inputs!$B$25))*Inputs!$B$12*Inputs!$B$13</f>
        <v>5487.55764294972</v>
      </c>
      <c r="AG20" s="19" t="n">
        <f aca="false">AF20/AE20</f>
        <v>318.857903616567</v>
      </c>
      <c r="AH20" s="73" t="n">
        <f aca="false">IF(AND(Inputs!$B$19="Yes",A20&gt;=$B$5),1,0)</f>
        <v>1</v>
      </c>
      <c r="AI20" s="22" t="n">
        <f aca="false">(AA20+AF20)*(1+IF(AH20=1,$B$70*MIN(1,(A20-$B$5+1)/3),0))</f>
        <v>7604.10792272436</v>
      </c>
      <c r="AJ20" s="75" t="n">
        <f aca="false">AE20+Z20*$B$4</f>
        <v>27.603753072058</v>
      </c>
      <c r="AK20" s="58" t="n">
        <f aca="false">IF(AH20=1,Z20*$B$4/AJ20,1)</f>
        <v>0.376532563985486</v>
      </c>
      <c r="AL20" s="79" t="n">
        <f aca="false">IF(AH20=1,$B$4*AI20/AJ20,AB20)</f>
        <v>643.349545681662</v>
      </c>
      <c r="AM20" s="19" t="n">
        <f aca="false">AL20*Holdings!$D$15</f>
        <v>237061.440592779</v>
      </c>
      <c r="AN20" s="80" t="n">
        <f aca="false">AM20/Inputs!$B$14</f>
        <v>179198.307198412</v>
      </c>
      <c r="AO20" s="21" t="n">
        <f aca="false">AN20/(1+Inputs!$B$17)^B20</f>
        <v>133243.955907536</v>
      </c>
      <c r="AP20" s="20" t="n">
        <f aca="false">AL20/Inputs!$B$9</f>
        <v>1.71559878848443</v>
      </c>
    </row>
    <row r="21" customFormat="false" ht="15" hidden="false" customHeight="false" outlineLevel="0" collapsed="false">
      <c r="A21" s="73" t="n">
        <v>2039</v>
      </c>
      <c r="B21" s="73" t="n">
        <f aca="false">A21-2026</f>
        <v>13</v>
      </c>
      <c r="C21" s="74" t="n">
        <f aca="false">MIN(1,B21/Inputs!$B$27)</f>
        <v>1</v>
      </c>
      <c r="D21" s="75" t="n">
        <f aca="false">Inputs!$B$30+($B$33-Inputs!$B$30)*((1/(1+EXP(-$B$35*($A21-$B$34))))-(1/(1+EXP(-$B$35*(2026-$B$34)))))/(1-(1/(1+EXP(-$B$35*(2026-$B$34)))))</f>
        <v>4.96493748239873</v>
      </c>
      <c r="E21" s="76" t="n">
        <f aca="false">E20-J20+D21+J21</f>
        <v>56.4427272609225</v>
      </c>
      <c r="F21" s="76" t="n">
        <f aca="false">MAX($B$37,Inputs!$B$32*(1+$B$36)^B21)</f>
        <v>34.0972295358542</v>
      </c>
      <c r="G21" s="24" t="n">
        <f aca="false">D21*F21</f>
        <v>169.290612968515</v>
      </c>
      <c r="H21" s="75" t="n">
        <f aca="false">Inputs!$B$34+($B$39-Inputs!$B$34)*((1/(1+EXP(-$B$41*($A21-$B$40))))-(1/(1+EXP(-$B$41*(2026-$B$40)))))/(1-(1/(1+EXP(-$B$41*(2026-$B$40)))))</f>
        <v>18.7509593184296</v>
      </c>
      <c r="I21" s="24" t="n">
        <f aca="false">H21*$B$42*12/1000</f>
        <v>18.0009209456924</v>
      </c>
      <c r="J21" s="77" t="n">
        <f aca="false">Inputs!$B$35+($B$44-Inputs!$B$35)*((1/(1+EXP(-$B$46*($A21-$B$45))))-(1/(1+EXP(-$B$46*(2026-$B$45)))))/(1-(1/(1+EXP(-$B$46*(2026-$B$45)))))</f>
        <v>3.43146862588405</v>
      </c>
      <c r="K21" s="77" t="n">
        <f aca="false">(J21+J20)/2</f>
        <v>3.20054208260081</v>
      </c>
      <c r="L21" s="75" t="n">
        <f aca="false">MAX($B$48,Inputs!$B$36*(1-Inputs!$B$37)^B21)</f>
        <v>1</v>
      </c>
      <c r="M21" s="24" t="n">
        <f aca="false">K21*$B$47*L21</f>
        <v>160.02710413004</v>
      </c>
      <c r="N21" s="77" t="n">
        <f aca="false">Inputs!$B$39+($B$50-Inputs!$B$39)*((1/(1+EXP(-$B$52*($A21-$B$51))))-(1/(1+EXP(-$B$52*(2026-$B$51)))))/(1-(1/(1+EXP(-$B$52*(2026-$B$51)))))</f>
        <v>1.49423894477991</v>
      </c>
      <c r="O21" s="75" t="n">
        <f aca="false">O20+N21</f>
        <v>5.80156661894363</v>
      </c>
      <c r="P21" s="76" t="n">
        <f aca="false">MAX($B$53,Inputs!$B$40*(1-Inputs!$B$41)^B21)</f>
        <v>25</v>
      </c>
      <c r="Q21" s="24" t="n">
        <f aca="false">N21*P21</f>
        <v>37.3559736194978</v>
      </c>
      <c r="R21" s="22" t="n">
        <f aca="false">Inputs!$B$43+($B$55-Inputs!$B$43)*((1/(1+EXP(-$B$57*($A21-$B$56))))-(1/(1+EXP(-$B$57*(2026-$B$56)))))/(1-(1/(1+EXP(-$B$57*(2026-$B$56)))))</f>
        <v>464.626668342363</v>
      </c>
      <c r="S21" s="73" t="n">
        <f aca="false">MAX($B$58,Inputs!$B$44*(1-Inputs!$B$45)^B21)</f>
        <v>144.109334923961</v>
      </c>
      <c r="T21" s="24" t="n">
        <f aca="false">R21*S21/1000</f>
        <v>66.9570401627539</v>
      </c>
      <c r="U21" s="24" t="n">
        <f aca="false">U20*(1+$B$60*Inputs!$B$48^(B21-1))</f>
        <v>40.6398379694155</v>
      </c>
      <c r="V21" s="78" t="n">
        <f aca="false">G21+I21+M21+Q21+T21+U21</f>
        <v>492.271489795915</v>
      </c>
      <c r="W21" s="24" t="n">
        <f aca="false">G21*(Inputs!$B$33+($B$38-Inputs!$B$33)*C21)+I21*$B$43+M21*(Inputs!$B$38+($B$49-Inputs!$B$38)*C21)+Q21*(Inputs!$B$42+($B$54-Inputs!$B$42)*C21)+T21*(Inputs!$B$46+($B$59-Inputs!$B$46)*C21)+U21*$B$61-V21*Inputs!$B$49</f>
        <v>138.590018651643</v>
      </c>
      <c r="X21" s="24" t="n">
        <f aca="false">(W21-V21*(Inputs!$B$50+Inputs!$B$51))*(1-Inputs!$B$52)</f>
        <v>70.5966670409203</v>
      </c>
      <c r="Y21" s="76" t="n">
        <f aca="false">$B$62+($B$63-$B$62)*MIN(1,MAX(0,(A21-2027)/(Inputs!$B$26-2027)))</f>
        <v>15</v>
      </c>
      <c r="Z21" s="77" t="n">
        <f aca="false">Inputs!$B$11*(1+$B$64)^B21</f>
        <v>4.49495334986421</v>
      </c>
      <c r="AA21" s="22" t="n">
        <f aca="false">MIN(1,B21/Inputs!$B$25)*(W22*Y21+Inputs!$B$28)+(1-MIN(1,B21/Inputs!$B$25))*Inputs!$B$9*Inputs!$B$11</f>
        <v>2333.1557906014</v>
      </c>
      <c r="AB21" s="79" t="n">
        <f aca="false">AA21/Z21</f>
        <v>519.061180172622</v>
      </c>
      <c r="AC21" s="22" t="n">
        <f aca="false">Inputs!$B$53+($B$65-Inputs!$B$53)*((1/(1+EXP(-$B$67*($A21-$B$66))))-(1/(1+EXP(-$B$67*(2026-$B$66)))))/(1-(1/(1+EXP(-$B$67*(2026-$B$66)))))</f>
        <v>914.59294049162</v>
      </c>
      <c r="AD21" s="22" t="n">
        <f aca="false">AC21*(Inputs!$B$54+($B$68-Inputs!$B$54)*C21)</f>
        <v>365.837176196648</v>
      </c>
      <c r="AE21" s="75" t="n">
        <f aca="false">Inputs!$B$13*(1+$B$69)^B21</f>
        <v>17.554241975258</v>
      </c>
      <c r="AF21" s="22" t="n">
        <f aca="false">MIN(1,B21/Inputs!$B$25)*(AD22*Y21)+(1-MIN(1,B21/Inputs!$B$25))*Inputs!$B$12*Inputs!$B$13</f>
        <v>5646.81515627273</v>
      </c>
      <c r="AG21" s="19" t="n">
        <f aca="false">AF21/AE21</f>
        <v>321.678097193356</v>
      </c>
      <c r="AH21" s="73" t="n">
        <f aca="false">IF(AND(Inputs!$B$19="Yes",A21&gt;=$B$5),1,0)</f>
        <v>1</v>
      </c>
      <c r="AI21" s="22" t="n">
        <f aca="false">(AA21+AF21)*(1+IF(AH21=1,$B$70*MIN(1,(A21-$B$5+1)/3),0))</f>
        <v>7979.97094687413</v>
      </c>
      <c r="AJ21" s="75" t="n">
        <f aca="false">AE21+Z21*$B$4</f>
        <v>28.0518910143007</v>
      </c>
      <c r="AK21" s="58" t="n">
        <f aca="false">IF(AH21=1,Z21*$B$4/AJ21,1)</f>
        <v>0.374222509052635</v>
      </c>
      <c r="AL21" s="79" t="n">
        <f aca="false">IF(AH21=1,$B$4*AI21/AJ21,AB21)</f>
        <v>664.363902685793</v>
      </c>
      <c r="AM21" s="19" t="n">
        <f aca="false">AL21*Holdings!$D$15</f>
        <v>244804.810861661</v>
      </c>
      <c r="AN21" s="80" t="n">
        <f aca="false">AM21/Inputs!$B$14</f>
        <v>185051.637207394</v>
      </c>
      <c r="AO21" s="21" t="n">
        <f aca="false">AN21/(1+Inputs!$B$17)^B21</f>
        <v>134240.228178368</v>
      </c>
      <c r="AP21" s="20" t="n">
        <f aca="false">AL21/Inputs!$B$9</f>
        <v>1.77163707382878</v>
      </c>
    </row>
    <row r="22" customFormat="false" ht="15" hidden="false" customHeight="false" outlineLevel="0" collapsed="false">
      <c r="A22" s="73" t="n">
        <v>2040</v>
      </c>
      <c r="B22" s="73" t="n">
        <f aca="false">A22-2026</f>
        <v>14</v>
      </c>
      <c r="C22" s="74" t="n">
        <f aca="false">MIN(1,B22/Inputs!$B$27)</f>
        <v>1</v>
      </c>
      <c r="D22" s="75" t="n">
        <f aca="false">Inputs!$B$30+($B$33-Inputs!$B$30)*((1/(1+EXP(-$B$35*($A22-$B$34))))-(1/(1+EXP(-$B$35*(2026-$B$34)))))/(1-(1/(1+EXP(-$B$35*(2026-$B$34)))))</f>
        <v>5.18426765163027</v>
      </c>
      <c r="E22" s="76" t="n">
        <f aca="false">E21-J21+D22+J22</f>
        <v>62.0244093388361</v>
      </c>
      <c r="F22" s="76" t="n">
        <f aca="false">MAX($B$37,Inputs!$B$32*(1+$B$36)^B22)</f>
        <v>33.5857710928164</v>
      </c>
      <c r="G22" s="24" t="n">
        <f aca="false">D22*F22</f>
        <v>174.117626631547</v>
      </c>
      <c r="H22" s="75" t="n">
        <f aca="false">Inputs!$B$34+($B$39-Inputs!$B$34)*((1/(1+EXP(-$B$41*($A22-$B$40))))-(1/(1+EXP(-$B$41*(2026-$B$40)))))/(1-(1/(1+EXP(-$B$41*(2026-$B$40)))))</f>
        <v>20.231322414506</v>
      </c>
      <c r="I22" s="24" t="n">
        <f aca="false">H22*$B$42*12/1000</f>
        <v>19.4220695179258</v>
      </c>
      <c r="J22" s="77" t="n">
        <f aca="false">Inputs!$B$35+($B$44-Inputs!$B$35)*((1/(1+EXP(-$B$46*($A22-$B$45))))-(1/(1+EXP(-$B$46*(2026-$B$45)))))/(1-(1/(1+EXP(-$B$46*(2026-$B$45)))))</f>
        <v>3.82888305216732</v>
      </c>
      <c r="K22" s="77" t="n">
        <f aca="false">(J22+J21)/2</f>
        <v>3.63017583902568</v>
      </c>
      <c r="L22" s="75" t="n">
        <f aca="false">MAX($B$48,Inputs!$B$36*(1-Inputs!$B$37)^B22)</f>
        <v>1</v>
      </c>
      <c r="M22" s="24" t="n">
        <f aca="false">K22*$B$47*L22</f>
        <v>181.508791951284</v>
      </c>
      <c r="N22" s="77" t="n">
        <f aca="false">Inputs!$B$39+($B$50-Inputs!$B$39)*((1/(1+EXP(-$B$52*($A22-$B$51))))-(1/(1+EXP(-$B$52*(2026-$B$51)))))/(1-(1/(1+EXP(-$B$52*(2026-$B$51)))))</f>
        <v>1.79143901523617</v>
      </c>
      <c r="O22" s="75" t="n">
        <f aca="false">O21+N22</f>
        <v>7.5930056341798</v>
      </c>
      <c r="P22" s="76" t="n">
        <f aca="false">MAX($B$53,Inputs!$B$40*(1-Inputs!$B$41)^B22)</f>
        <v>25</v>
      </c>
      <c r="Q22" s="24" t="n">
        <f aca="false">N22*P22</f>
        <v>44.7859753809041</v>
      </c>
      <c r="R22" s="22" t="n">
        <f aca="false">Inputs!$B$43+($B$55-Inputs!$B$43)*((1/(1+EXP(-$B$57*($A22-$B$56))))-(1/(1+EXP(-$B$57*(2026-$B$56)))))/(1-(1/(1+EXP(-$B$57*(2026-$B$56)))))</f>
        <v>493.312332480522</v>
      </c>
      <c r="S22" s="73" t="n">
        <f aca="false">MAX($B$58,Inputs!$B$44*(1-Inputs!$B$45)^B22)</f>
        <v>138.344961527003</v>
      </c>
      <c r="T22" s="24" t="n">
        <f aca="false">R22*S22/1000</f>
        <v>68.2472756578138</v>
      </c>
      <c r="U22" s="24" t="n">
        <f aca="false">U21*(1+$B$60*Inputs!$B$48^(B22-1))</f>
        <v>42.2219247399022</v>
      </c>
      <c r="V22" s="78" t="n">
        <f aca="false">G22+I22+M22+Q22+T22+U22</f>
        <v>530.303663879377</v>
      </c>
      <c r="W22" s="24" t="n">
        <f aca="false">G22*(Inputs!$B$33+($B$38-Inputs!$B$33)*C22)+I22*$B$43+M22*(Inputs!$B$38+($B$49-Inputs!$B$38)*C22)+Q22*(Inputs!$B$42+($B$54-Inputs!$B$42)*C22)+T22*(Inputs!$B$46+($B$59-Inputs!$B$46)*C22)+U22*$B$61-V22*Inputs!$B$49</f>
        <v>153.030386040093</v>
      </c>
      <c r="X22" s="24" t="n">
        <f aca="false">(W22-V22*(Inputs!$B$50+Inputs!$B$51))*(1-Inputs!$B$52)</f>
        <v>79.0000155252027</v>
      </c>
      <c r="Y22" s="76" t="n">
        <f aca="false">$B$62+($B$63-$B$62)*MIN(1,MAX(0,(A22-2027)/(Inputs!$B$26-2027)))</f>
        <v>15</v>
      </c>
      <c r="Z22" s="77" t="n">
        <f aca="false">Inputs!$B$11*(1+$B$64)^B22</f>
        <v>4.53990288336285</v>
      </c>
      <c r="AA22" s="22" t="n">
        <f aca="false">MIN(1,B22/Inputs!$B$25)*(W23*Y22+Inputs!$B$28)+(1-MIN(1,B22/Inputs!$B$25))*Inputs!$B$9*Inputs!$B$11</f>
        <v>2513.88043958933</v>
      </c>
      <c r="AB22" s="79" t="n">
        <f aca="false">AA22/Z22</f>
        <v>553.730003520959</v>
      </c>
      <c r="AC22" s="22" t="n">
        <f aca="false">Inputs!$B$53+($B$65-Inputs!$B$53)*((1/(1+EXP(-$B$67*($A22-$B$66))))-(1/(1+EXP(-$B$67*(2026-$B$66)))))/(1-(1/(1+EXP(-$B$67*(2026-$B$66)))))</f>
        <v>941.135859378789</v>
      </c>
      <c r="AD22" s="22" t="n">
        <f aca="false">AC22*(Inputs!$B$54+($B$68-Inputs!$B$54)*C22)</f>
        <v>376.454343751516</v>
      </c>
      <c r="AE22" s="75" t="n">
        <f aca="false">Inputs!$B$13*(1+$B$69)^B22</f>
        <v>17.9053268147632</v>
      </c>
      <c r="AF22" s="22" t="n">
        <f aca="false">MIN(1,B22/Inputs!$B$25)*(AD23*Y22)+(1-MIN(1,B22/Inputs!$B$25))*Inputs!$B$12*Inputs!$B$13</f>
        <v>5758.69274231095</v>
      </c>
      <c r="AG22" s="19" t="n">
        <f aca="false">AF22/AE22</f>
        <v>321.618968583295</v>
      </c>
      <c r="AH22" s="73" t="n">
        <f aca="false">IF(AND(Inputs!$B$19="Yes",A22&gt;=$B$5),1,0)</f>
        <v>1</v>
      </c>
      <c r="AI22" s="22" t="n">
        <f aca="false">(AA22+AF22)*(1+IF(AH22=1,$B$70*MIN(1,(A22-$B$5+1)/3),0))</f>
        <v>8272.57318190028</v>
      </c>
      <c r="AJ22" s="75" t="n">
        <f aca="false">AE22+Z22*$B$4</f>
        <v>28.5079523441963</v>
      </c>
      <c r="AK22" s="58" t="n">
        <f aca="false">IF(AH22=1,Z22*$B$4/AJ22,1)</f>
        <v>0.371918172214554</v>
      </c>
      <c r="AL22" s="79" t="n">
        <f aca="false">IF(AH22=1,$B$4*AI22/AJ22,AB22)</f>
        <v>677.706192482352</v>
      </c>
      <c r="AM22" s="19" t="n">
        <f aca="false">AL22*Holdings!$D$15</f>
        <v>249721.177805897</v>
      </c>
      <c r="AN22" s="80" t="n">
        <f aca="false">AM22/Inputs!$B$14</f>
        <v>188767.992898856</v>
      </c>
      <c r="AO22" s="21" t="n">
        <f aca="false">AN22/(1+Inputs!$B$17)^B22</f>
        <v>133596.242263544</v>
      </c>
      <c r="AP22" s="20" t="n">
        <f aca="false">AL22/Inputs!$B$9</f>
        <v>1.80721651328627</v>
      </c>
    </row>
    <row r="23" customFormat="false" ht="15" hidden="false" customHeight="false" outlineLevel="0" collapsed="false">
      <c r="A23" s="73" t="n">
        <v>2041</v>
      </c>
      <c r="B23" s="73" t="n">
        <f aca="false">A23-2026</f>
        <v>15</v>
      </c>
      <c r="C23" s="74" t="n">
        <f aca="false">MIN(1,B23/Inputs!$B$27)</f>
        <v>1</v>
      </c>
      <c r="D23" s="75" t="n">
        <f aca="false">Inputs!$B$30+($B$33-Inputs!$B$30)*((1/(1+EXP(-$B$35*($A23-$B$34))))-(1/(1+EXP(-$B$35*(2026-$B$34)))))/(1-(1/(1+EXP(-$B$35*(2026-$B$34)))))</f>
        <v>5.36570004089532</v>
      </c>
      <c r="E23" s="76" t="n">
        <f aca="false">E22-J22+D23+J23</f>
        <v>67.7113465042823</v>
      </c>
      <c r="F23" s="76" t="n">
        <f aca="false">MAX($B$37,Inputs!$B$32*(1+$B$36)^B23)</f>
        <v>33.0819845264241</v>
      </c>
      <c r="G23" s="24" t="n">
        <f aca="false">D23*F23</f>
        <v>177.508005726332</v>
      </c>
      <c r="H23" s="75" t="n">
        <f aca="false">Inputs!$B$34+($B$39-Inputs!$B$34)*((1/(1+EXP(-$B$41*($A23-$B$40))))-(1/(1+EXP(-$B$41*(2026-$B$40)))))/(1-(1/(1+EXP(-$B$41*(2026-$B$40)))))</f>
        <v>21.4310826367751</v>
      </c>
      <c r="I23" s="24" t="n">
        <f aca="false">H23*$B$42*12/1000</f>
        <v>20.5738393313041</v>
      </c>
      <c r="J23" s="77" t="n">
        <f aca="false">Inputs!$B$35+($B$44-Inputs!$B$35)*((1/(1+EXP(-$B$46*($A23-$B$45))))-(1/(1+EXP(-$B$46*(2026-$B$45)))))/(1-(1/(1+EXP(-$B$46*(2026-$B$45)))))</f>
        <v>4.15012017671824</v>
      </c>
      <c r="K23" s="77" t="n">
        <f aca="false">(J23+J22)/2</f>
        <v>3.98950161444278</v>
      </c>
      <c r="L23" s="75" t="n">
        <f aca="false">MAX($B$48,Inputs!$B$36*(1-Inputs!$B$37)^B23)</f>
        <v>1</v>
      </c>
      <c r="M23" s="24" t="n">
        <f aca="false">K23*$B$47*L23</f>
        <v>199.475080722139</v>
      </c>
      <c r="N23" s="77" t="n">
        <f aca="false">Inputs!$B$39+($B$50-Inputs!$B$39)*((1/(1+EXP(-$B$52*($A23-$B$51))))-(1/(1+EXP(-$B$52*(2026-$B$51)))))/(1-(1/(1+EXP(-$B$52*(2026-$B$51)))))</f>
        <v>2.06635129511512</v>
      </c>
      <c r="O23" s="75" t="n">
        <f aca="false">O22+N23</f>
        <v>9.65935692929492</v>
      </c>
      <c r="P23" s="76" t="n">
        <f aca="false">MAX($B$53,Inputs!$B$40*(1-Inputs!$B$41)^B23)</f>
        <v>25</v>
      </c>
      <c r="Q23" s="24" t="n">
        <f aca="false">N23*P23</f>
        <v>51.6587823778779</v>
      </c>
      <c r="R23" s="22" t="n">
        <f aca="false">Inputs!$B$43+($B$55-Inputs!$B$43)*((1/(1+EXP(-$B$57*($A23-$B$56))))-(1/(1+EXP(-$B$57*(2026-$B$56)))))/(1-(1/(1+EXP(-$B$57*(2026-$B$56)))))</f>
        <v>517.041437329507</v>
      </c>
      <c r="S23" s="73" t="n">
        <f aca="false">MAX($B$58,Inputs!$B$44*(1-Inputs!$B$45)^B23)</f>
        <v>132.811163065923</v>
      </c>
      <c r="T23" s="24" t="n">
        <f aca="false">R23*S23/1000</f>
        <v>68.6688746450082</v>
      </c>
      <c r="U23" s="24" t="n">
        <f aca="false">U22*(1+$B$60*Inputs!$B$48^(B23-1))</f>
        <v>43.7505439288704</v>
      </c>
      <c r="V23" s="78" t="n">
        <f aca="false">G23+I23+M23+Q23+T23+U23</f>
        <v>561.635126731532</v>
      </c>
      <c r="W23" s="24" t="n">
        <f aca="false">G23*(Inputs!$B$33+($B$38-Inputs!$B$33)*C23)+I23*$B$43+M23*(Inputs!$B$38+($B$49-Inputs!$B$38)*C23)+Q23*(Inputs!$B$42+($B$54-Inputs!$B$42)*C23)+T23*(Inputs!$B$46+($B$59-Inputs!$B$46)*C23)+U23*$B$61-V23*Inputs!$B$49</f>
        <v>165.078695972622</v>
      </c>
      <c r="X23" s="24" t="n">
        <f aca="false">(W23-V23*(Inputs!$B$50+Inputs!$B$51))*(1-Inputs!$B$52)</f>
        <v>86.0429948065801</v>
      </c>
      <c r="Y23" s="76" t="n">
        <f aca="false">$B$62+($B$63-$B$62)*MIN(1,MAX(0,(A23-2027)/(Inputs!$B$26-2027)))</f>
        <v>15</v>
      </c>
      <c r="Z23" s="77" t="n">
        <f aca="false">Inputs!$B$11*(1+$B$64)^B23</f>
        <v>4.58530191219648</v>
      </c>
      <c r="AA23" s="22" t="n">
        <f aca="false">MIN(1,B23/Inputs!$B$25)*(W24*Y23+Inputs!$B$28)+(1-MIN(1,B23/Inputs!$B$25))*Inputs!$B$9*Inputs!$B$11</f>
        <v>2660.17272853729</v>
      </c>
      <c r="AB23" s="79" t="n">
        <f aca="false">AA23/Z23</f>
        <v>580.152142536455</v>
      </c>
      <c r="AC23" s="22" t="n">
        <f aca="false">Inputs!$B$53+($B$65-Inputs!$B$53)*((1/(1+EXP(-$B$67*($A23-$B$66))))-(1/(1+EXP(-$B$67*(2026-$B$66)))))/(1-(1/(1+EXP(-$B$67*(2026-$B$66)))))</f>
        <v>959.782123718492</v>
      </c>
      <c r="AD23" s="22" t="n">
        <f aca="false">AC23*(Inputs!$B$54+($B$68-Inputs!$B$54)*C23)</f>
        <v>383.912849487397</v>
      </c>
      <c r="AE23" s="75" t="n">
        <f aca="false">Inputs!$B$13*(1+$B$69)^B23</f>
        <v>18.2634333510584</v>
      </c>
      <c r="AF23" s="22" t="n">
        <f aca="false">MIN(1,B23/Inputs!$B$25)*(AD24*Y23)+(1-MIN(1,B23/Inputs!$B$25))*Inputs!$B$12*Inputs!$B$13</f>
        <v>5836.1310062855</v>
      </c>
      <c r="AG23" s="19" t="n">
        <f aca="false">AF23/AE23</f>
        <v>319.552785837351</v>
      </c>
      <c r="AH23" s="73" t="n">
        <f aca="false">IF(AND(Inputs!$B$19="Yes",A23&gt;=$B$5),1,0)</f>
        <v>1</v>
      </c>
      <c r="AI23" s="22" t="n">
        <f aca="false">(AA23+AF23)*(1+IF(AH23=1,$B$70*MIN(1,(A23-$B$5+1)/3),0))</f>
        <v>8496.3037348228</v>
      </c>
      <c r="AJ23" s="75" t="n">
        <f aca="false">AE23+Z23*$B$4</f>
        <v>28.9720851357859</v>
      </c>
      <c r="AK23" s="58" t="n">
        <f aca="false">IF(AH23=1,Z23*$B$4/AJ23,1)</f>
        <v>0.369619643685924</v>
      </c>
      <c r="AL23" s="79" t="n">
        <f aca="false">IF(AH23=1,$B$4*AI23/AJ23,AB23)</f>
        <v>684.88418412742</v>
      </c>
      <c r="AM23" s="19" t="n">
        <f aca="false">AL23*Holdings!$D$15</f>
        <v>252366.124167272</v>
      </c>
      <c r="AN23" s="80" t="n">
        <f aca="false">AM23/Inputs!$B$14</f>
        <v>190767.347620585</v>
      </c>
      <c r="AO23" s="21" t="n">
        <f aca="false">AN23/(1+Inputs!$B$17)^B23</f>
        <v>131718.282901544</v>
      </c>
      <c r="AP23" s="20" t="n">
        <f aca="false">AL23/Inputs!$B$9</f>
        <v>1.82635782433979</v>
      </c>
    </row>
    <row r="24" customFormat="false" ht="15" hidden="false" customHeight="false" outlineLevel="0" collapsed="false">
      <c r="A24" s="73" t="n">
        <v>2042</v>
      </c>
      <c r="B24" s="73" t="n">
        <f aca="false">A24-2026</f>
        <v>16</v>
      </c>
      <c r="C24" s="74" t="n">
        <f aca="false">MIN(1,B24/Inputs!$B$27)</f>
        <v>1</v>
      </c>
      <c r="D24" s="75" t="n">
        <f aca="false">Inputs!$B$30+($B$33-Inputs!$B$30)*((1/(1+EXP(-$B$35*($A24-$B$34))))-(1/(1+EXP(-$B$35*(2026-$B$34)))))/(1-(1/(1+EXP(-$B$35*(2026-$B$34)))))</f>
        <v>5.51216362548019</v>
      </c>
      <c r="E24" s="76" t="n">
        <f aca="false">E23-J23+D24+J24</f>
        <v>73.4702992018118</v>
      </c>
      <c r="F24" s="76" t="n">
        <f aca="false">MAX($B$37,Inputs!$B$32*(1+$B$36)^B24)</f>
        <v>32.5857547585278</v>
      </c>
      <c r="G24" s="24" t="n">
        <f aca="false">D24*F24</f>
        <v>179.618012088775</v>
      </c>
      <c r="H24" s="75" t="n">
        <f aca="false">Inputs!$B$34+($B$39-Inputs!$B$34)*((1/(1+EXP(-$B$41*($A24-$B$40))))-(1/(1+EXP(-$B$41*(2026-$B$40)))))/(1-(1/(1+EXP(-$B$41*(2026-$B$40)))))</f>
        <v>22.3700445221913</v>
      </c>
      <c r="I24" s="24" t="n">
        <f aca="false">H24*$B$42*12/1000</f>
        <v>21.4752427413037</v>
      </c>
      <c r="J24" s="77" t="n">
        <f aca="false">Inputs!$B$35+($B$44-Inputs!$B$35)*((1/(1+EXP(-$B$46*($A24-$B$45))))-(1/(1+EXP(-$B$46*(2026-$B$45)))))/(1-(1/(1+EXP(-$B$46*(2026-$B$45)))))</f>
        <v>4.39690924876752</v>
      </c>
      <c r="K24" s="77" t="n">
        <f aca="false">(J24+J23)/2</f>
        <v>4.27351471274288</v>
      </c>
      <c r="L24" s="75" t="n">
        <f aca="false">MAX($B$48,Inputs!$B$36*(1-Inputs!$B$37)^B24)</f>
        <v>1</v>
      </c>
      <c r="M24" s="24" t="n">
        <f aca="false">K24*$B$47*L24</f>
        <v>213.675735637144</v>
      </c>
      <c r="N24" s="77" t="n">
        <f aca="false">Inputs!$B$39+($B$50-Inputs!$B$39)*((1/(1+EXP(-$B$52*($A24-$B$51))))-(1/(1+EXP(-$B$52*(2026-$B$51)))))/(1-(1/(1+EXP(-$B$52*(2026-$B$51)))))</f>
        <v>2.30290726748837</v>
      </c>
      <c r="O24" s="75" t="n">
        <f aca="false">O23+N24</f>
        <v>11.9622641967833</v>
      </c>
      <c r="P24" s="76" t="n">
        <f aca="false">MAX($B$53,Inputs!$B$40*(1-Inputs!$B$41)^B24)</f>
        <v>25</v>
      </c>
      <c r="Q24" s="24" t="n">
        <f aca="false">N24*P24</f>
        <v>57.5726816872091</v>
      </c>
      <c r="R24" s="22" t="n">
        <f aca="false">Inputs!$B$43+($B$55-Inputs!$B$43)*((1/(1+EXP(-$B$57*($A24-$B$56))))-(1/(1+EXP(-$B$57*(2026-$B$56)))))/(1-(1/(1+EXP(-$B$57*(2026-$B$56)))))</f>
        <v>536.197056506717</v>
      </c>
      <c r="S24" s="73" t="n">
        <f aca="false">MAX($B$58,Inputs!$B$44*(1-Inputs!$B$45)^B24)</f>
        <v>130</v>
      </c>
      <c r="T24" s="24" t="n">
        <f aca="false">R24*S24/1000</f>
        <v>69.7056173458732</v>
      </c>
      <c r="U24" s="24" t="n">
        <f aca="false">U23*(1+$B$60*Inputs!$B$48^(B24-1))</f>
        <v>45.2236285144781</v>
      </c>
      <c r="V24" s="78" t="n">
        <f aca="false">G24+I24+M24+Q24+T24+U24</f>
        <v>587.270918014783</v>
      </c>
      <c r="W24" s="24" t="n">
        <f aca="false">G24*(Inputs!$B$33+($B$38-Inputs!$B$33)*C24)+I24*$B$43+M24*(Inputs!$B$38+($B$49-Inputs!$B$38)*C24)+Q24*(Inputs!$B$42+($B$54-Inputs!$B$42)*C24)+T24*(Inputs!$B$46+($B$59-Inputs!$B$46)*C24)+U24*$B$61-V24*Inputs!$B$49</f>
        <v>174.831515235819</v>
      </c>
      <c r="X24" s="24" t="n">
        <f aca="false">(W24-V24*(Inputs!$B$50+Inputs!$B$51))*(1-Inputs!$B$52)</f>
        <v>91.7224945131296</v>
      </c>
      <c r="Y24" s="76" t="n">
        <f aca="false">$B$62+($B$63-$B$62)*MIN(1,MAX(0,(A24-2027)/(Inputs!$B$26-2027)))</f>
        <v>15</v>
      </c>
      <c r="Z24" s="77" t="n">
        <f aca="false">Inputs!$B$11*(1+$B$64)^B24</f>
        <v>4.63115493131845</v>
      </c>
      <c r="AA24" s="22" t="n">
        <f aca="false">MIN(1,B24/Inputs!$B$25)*(W25*Y24+Inputs!$B$28)+(1-MIN(1,B24/Inputs!$B$25))*Inputs!$B$9*Inputs!$B$11</f>
        <v>2775.09699433403</v>
      </c>
      <c r="AB24" s="79" t="n">
        <f aca="false">AA24/Z24</f>
        <v>599.22352749792</v>
      </c>
      <c r="AC24" s="22" t="n">
        <f aca="false">Inputs!$B$53+($B$65-Inputs!$B$53)*((1/(1+EXP(-$B$67*($A24-$B$66))))-(1/(1+EXP(-$B$67*(2026-$B$66)))))/(1-(1/(1+EXP(-$B$67*(2026-$B$66)))))</f>
        <v>972.688501047584</v>
      </c>
      <c r="AD24" s="22" t="n">
        <f aca="false">AC24*(Inputs!$B$54+($B$68-Inputs!$B$54)*C24)</f>
        <v>389.075400419034</v>
      </c>
      <c r="AE24" s="75" t="n">
        <f aca="false">Inputs!$B$13*(1+$B$69)^B24</f>
        <v>18.6287020180796</v>
      </c>
      <c r="AF24" s="22" t="n">
        <f aca="false">MIN(1,B24/Inputs!$B$25)*(AD25*Y24)+(1-MIN(1,B24/Inputs!$B$25))*Inputs!$B$12*Inputs!$B$13</f>
        <v>5889.18363578547</v>
      </c>
      <c r="AG24" s="19" t="n">
        <f aca="false">AF24/AE24</f>
        <v>316.134942202085</v>
      </c>
      <c r="AH24" s="73" t="n">
        <f aca="false">IF(AND(Inputs!$B$19="Yes",A24&gt;=$B$5),1,0)</f>
        <v>1</v>
      </c>
      <c r="AI24" s="22" t="n">
        <f aca="false">(AA24+AF24)*(1+IF(AH24=1,$B$70*MIN(1,(A24-$B$5+1)/3),0))</f>
        <v>8664.28063011949</v>
      </c>
      <c r="AJ24" s="75" t="n">
        <f aca="false">AE24+Z24*$B$4</f>
        <v>29.4444403206543</v>
      </c>
      <c r="AK24" s="58" t="n">
        <f aca="false">IF(AH24=1,Z24*$B$4/AJ24,1)</f>
        <v>0.36732701266486</v>
      </c>
      <c r="AL24" s="79" t="n">
        <f aca="false">IF(AH24=1,$B$4*AI24/AJ24,AB24)</f>
        <v>687.220438087511</v>
      </c>
      <c r="AM24" s="19" t="n">
        <f aca="false">AL24*Holdings!$D$15</f>
        <v>253226.987026486</v>
      </c>
      <c r="AN24" s="80" t="n">
        <f aca="false">AM24/Inputs!$B$14</f>
        <v>191418.086799067</v>
      </c>
      <c r="AO24" s="21" t="n">
        <f aca="false">AN24/(1+Inputs!$B$17)^B24</f>
        <v>128943.995990997</v>
      </c>
      <c r="AP24" s="20" t="n">
        <f aca="false">AL24/Inputs!$B$9</f>
        <v>1.83258783490003</v>
      </c>
    </row>
    <row r="25" customFormat="false" ht="15" hidden="false" customHeight="false" outlineLevel="0" collapsed="false">
      <c r="A25" s="73" t="n">
        <v>2043</v>
      </c>
      <c r="B25" s="73" t="n">
        <f aca="false">A25-2026</f>
        <v>17</v>
      </c>
      <c r="C25" s="74" t="n">
        <f aca="false">MIN(1,B25/Inputs!$B$27)</f>
        <v>1</v>
      </c>
      <c r="D25" s="75" t="n">
        <f aca="false">Inputs!$B$30+($B$33-Inputs!$B$30)*((1/(1+EXP(-$B$35*($A25-$B$34))))-(1/(1+EXP(-$B$35*(2026-$B$34)))))/(1-(1/(1+EXP(-$B$35*(2026-$B$34)))))</f>
        <v>5.62808571072955</v>
      </c>
      <c r="E25" s="76" t="n">
        <f aca="false">E24-J24+D25+J25</f>
        <v>79.2806748716486</v>
      </c>
      <c r="F25" s="76" t="n">
        <f aca="false">MAX($B$37,Inputs!$B$32*(1+$B$36)^B25)</f>
        <v>32.0969684371499</v>
      </c>
      <c r="G25" s="24" t="n">
        <f aca="false">D25*F25</f>
        <v>180.644489418861</v>
      </c>
      <c r="H25" s="75" t="n">
        <f aca="false">Inputs!$B$34+($B$39-Inputs!$B$34)*((1/(1+EXP(-$B$41*($A25-$B$40))))-(1/(1+EXP(-$B$41*(2026-$B$40)))))/(1-(1/(1+EXP(-$B$41*(2026-$B$40)))))</f>
        <v>23.0850051790145</v>
      </c>
      <c r="I25" s="24" t="n">
        <f aca="false">H25*$B$42*12/1000</f>
        <v>22.1616049718539</v>
      </c>
      <c r="J25" s="77" t="n">
        <f aca="false">Inputs!$B$35+($B$44-Inputs!$B$35)*((1/(1+EXP(-$B$46*($A25-$B$45))))-(1/(1+EXP(-$B$46*(2026-$B$45)))))/(1-(1/(1+EXP(-$B$46*(2026-$B$45)))))</f>
        <v>4.57919920787475</v>
      </c>
      <c r="K25" s="77" t="n">
        <f aca="false">(J25+J24)/2</f>
        <v>4.48805422832113</v>
      </c>
      <c r="L25" s="75" t="n">
        <f aca="false">MAX($B$48,Inputs!$B$36*(1-Inputs!$B$37)^B25)</f>
        <v>1</v>
      </c>
      <c r="M25" s="24" t="n">
        <f aca="false">K25*$B$47*L25</f>
        <v>224.402711416057</v>
      </c>
      <c r="N25" s="77" t="n">
        <f aca="false">Inputs!$B$39+($B$50-Inputs!$B$39)*((1/(1+EXP(-$B$52*($A25-$B$51))))-(1/(1+EXP(-$B$52*(2026-$B$51)))))/(1-(1/(1+EXP(-$B$52*(2026-$B$51)))))</f>
        <v>2.49411965268337</v>
      </c>
      <c r="O25" s="75" t="n">
        <f aca="false">O24+N25</f>
        <v>14.4563838494666</v>
      </c>
      <c r="P25" s="76" t="n">
        <f aca="false">MAX($B$53,Inputs!$B$40*(1-Inputs!$B$41)^B25)</f>
        <v>25</v>
      </c>
      <c r="Q25" s="24" t="n">
        <f aca="false">N25*P25</f>
        <v>62.3529913170842</v>
      </c>
      <c r="R25" s="22" t="n">
        <f aca="false">Inputs!$B$43+($B$55-Inputs!$B$43)*((1/(1+EXP(-$B$57*($A25-$B$56))))-(1/(1+EXP(-$B$57*(2026-$B$56)))))/(1-(1/(1+EXP(-$B$57*(2026-$B$56)))))</f>
        <v>551.358226606156</v>
      </c>
      <c r="S25" s="73" t="n">
        <f aca="false">MAX($B$58,Inputs!$B$44*(1-Inputs!$B$45)^B25)</f>
        <v>130</v>
      </c>
      <c r="T25" s="24" t="n">
        <f aca="false">R25*S25/1000</f>
        <v>71.6765694588003</v>
      </c>
      <c r="U25" s="24" t="n">
        <f aca="false">U24*(1+$B$60*Inputs!$B$48^(B25-1))</f>
        <v>46.6397241421293</v>
      </c>
      <c r="V25" s="78" t="n">
        <f aca="false">G25+I25+M25+Q25+T25+U25</f>
        <v>607.878090724785</v>
      </c>
      <c r="W25" s="24" t="n">
        <f aca="false">G25*(Inputs!$B$33+($B$38-Inputs!$B$33)*C25)+I25*$B$43+M25*(Inputs!$B$38+($B$49-Inputs!$B$38)*C25)+Q25*(Inputs!$B$42+($B$54-Inputs!$B$42)*C25)+T25*(Inputs!$B$46+($B$59-Inputs!$B$46)*C25)+U25*$B$61-V25*Inputs!$B$49</f>
        <v>182.493132955602</v>
      </c>
      <c r="X25" s="24" t="n">
        <f aca="false">(W25-V25*(Inputs!$B$50+Inputs!$B$51))*(1-Inputs!$B$52)</f>
        <v>96.1472058676673</v>
      </c>
      <c r="Y25" s="76" t="n">
        <f aca="false">$B$62+($B$63-$B$62)*MIN(1,MAX(0,(A25-2027)/(Inputs!$B$26-2027)))</f>
        <v>15</v>
      </c>
      <c r="Z25" s="77" t="n">
        <f aca="false">Inputs!$B$11*(1+$B$64)^B25</f>
        <v>4.67746648063163</v>
      </c>
      <c r="AA25" s="22" t="n">
        <f aca="false">MIN(1,B25/Inputs!$B$25)*(W26*Y25+Inputs!$B$28)+(1-MIN(1,B25/Inputs!$B$25))*Inputs!$B$9*Inputs!$B$11</f>
        <v>2863.54577326287</v>
      </c>
      <c r="AB25" s="79" t="n">
        <f aca="false">AA25/Z25</f>
        <v>612.200169711572</v>
      </c>
      <c r="AC25" s="22" t="n">
        <f aca="false">Inputs!$B$53+($B$65-Inputs!$B$53)*((1/(1+EXP(-$B$67*($A25-$B$66))))-(1/(1+EXP(-$B$67*(2026-$B$66)))))/(1-(1/(1+EXP(-$B$67*(2026-$B$66)))))</f>
        <v>981.530605964244</v>
      </c>
      <c r="AD25" s="22" t="n">
        <f aca="false">AC25*(Inputs!$B$54+($B$68-Inputs!$B$54)*C25)</f>
        <v>392.612242385698</v>
      </c>
      <c r="AE25" s="75" t="n">
        <f aca="false">Inputs!$B$13*(1+$B$69)^B25</f>
        <v>19.0012760584412</v>
      </c>
      <c r="AF25" s="22" t="n">
        <f aca="false">MIN(1,B25/Inputs!$B$25)*(AD26*Y25)+(1-MIN(1,B25/Inputs!$B$25))*Inputs!$B$12*Inputs!$B$13</f>
        <v>5925.27447019676</v>
      </c>
      <c r="AG25" s="19" t="n">
        <f aca="false">AF25/AE25</f>
        <v>311.835607880898</v>
      </c>
      <c r="AH25" s="73" t="n">
        <f aca="false">IF(AND(Inputs!$B$19="Yes",A25&gt;=$B$5),1,0)</f>
        <v>1</v>
      </c>
      <c r="AI25" s="22" t="n">
        <f aca="false">(AA25+AF25)*(1+IF(AH25=1,$B$70*MIN(1,(A25-$B$5+1)/3),0))</f>
        <v>8788.82024345963</v>
      </c>
      <c r="AJ25" s="75" t="n">
        <f aca="false">AE25+Z25*$B$4</f>
        <v>29.9251717440416</v>
      </c>
      <c r="AK25" s="58" t="n">
        <f aca="false">IF(AH25=1,Z25*$B$4/AJ25,1)</f>
        <v>0.365040367321383</v>
      </c>
      <c r="AL25" s="79" t="n">
        <f aca="false">IF(AH25=1,$B$4*AI25/AJ25,AB25)</f>
        <v>685.8999809574</v>
      </c>
      <c r="AM25" s="19" t="n">
        <f aca="false">AL25*Holdings!$D$15</f>
        <v>252740.424983183</v>
      </c>
      <c r="AN25" s="80" t="n">
        <f aca="false">AM25/Inputs!$B$14</f>
        <v>191050.287235001</v>
      </c>
      <c r="AO25" s="21" t="n">
        <f aca="false">AN25/(1+Inputs!$B$17)^B25</f>
        <v>125557.304423522</v>
      </c>
      <c r="AP25" s="20" t="n">
        <f aca="false">AL25/Inputs!$B$9</f>
        <v>1.8290666158864</v>
      </c>
    </row>
    <row r="26" customFormat="false" ht="15" hidden="false" customHeight="false" outlineLevel="0" collapsed="false">
      <c r="A26" s="73" t="n">
        <v>2044</v>
      </c>
      <c r="B26" s="73" t="n">
        <f aca="false">A26-2026</f>
        <v>18</v>
      </c>
      <c r="C26" s="74" t="n">
        <f aca="false">MIN(1,B26/Inputs!$B$27)</f>
        <v>1</v>
      </c>
      <c r="D26" s="75" t="n">
        <f aca="false">Inputs!$B$30+($B$33-Inputs!$B$30)*((1/(1+EXP(-$B$35*($A26-$B$34))))-(1/(1+EXP(-$B$35*(2026-$B$34)))))/(1-(1/(1+EXP(-$B$35*(2026-$B$34)))))</f>
        <v>5.71840890162045</v>
      </c>
      <c r="E26" s="76" t="n">
        <f aca="false">E25-J25+D26+J26</f>
        <v>85.1298607998676</v>
      </c>
      <c r="F26" s="76" t="n">
        <f aca="false">MAX($B$37,Inputs!$B$32*(1+$B$36)^B26)</f>
        <v>32</v>
      </c>
      <c r="G26" s="24" t="n">
        <f aca="false">D26*F26</f>
        <v>182.989084851854</v>
      </c>
      <c r="H26" s="75" t="n">
        <f aca="false">Inputs!$B$34+($B$39-Inputs!$B$34)*((1/(1+EXP(-$B$41*($A26-$B$40))))-(1/(1+EXP(-$B$41*(2026-$B$40)))))/(1-(1/(1+EXP(-$B$41*(2026-$B$40)))))</f>
        <v>23.6181079451822</v>
      </c>
      <c r="I26" s="24" t="n">
        <f aca="false">H26*$B$42*12/1000</f>
        <v>22.6733836273749</v>
      </c>
      <c r="J26" s="77" t="n">
        <f aca="false">Inputs!$B$35+($B$44-Inputs!$B$35)*((1/(1+EXP(-$B$46*($A26-$B$45))))-(1/(1+EXP(-$B$46*(2026-$B$45)))))/(1-(1/(1+EXP(-$B$46*(2026-$B$45)))))</f>
        <v>4.70997623447337</v>
      </c>
      <c r="K26" s="77" t="n">
        <f aca="false">(J26+J25)/2</f>
        <v>4.64458772117406</v>
      </c>
      <c r="L26" s="75" t="n">
        <f aca="false">MAX($B$48,Inputs!$B$36*(1-Inputs!$B$37)^B26)</f>
        <v>1</v>
      </c>
      <c r="M26" s="24" t="n">
        <f aca="false">K26*$B$47*L26</f>
        <v>232.229386058703</v>
      </c>
      <c r="N26" s="77" t="n">
        <f aca="false">Inputs!$B$39+($B$50-Inputs!$B$39)*((1/(1+EXP(-$B$52*($A26-$B$51))))-(1/(1+EXP(-$B$52*(2026-$B$51)))))/(1-(1/(1+EXP(-$B$52*(2026-$B$51)))))</f>
        <v>2.64101776470132</v>
      </c>
      <c r="O26" s="75" t="n">
        <f aca="false">O25+N26</f>
        <v>17.097401614168</v>
      </c>
      <c r="P26" s="76" t="n">
        <f aca="false">MAX($B$53,Inputs!$B$40*(1-Inputs!$B$41)^B26)</f>
        <v>25</v>
      </c>
      <c r="Q26" s="24" t="n">
        <f aca="false">N26*P26</f>
        <v>66.0254441175329</v>
      </c>
      <c r="R26" s="22" t="n">
        <f aca="false">Inputs!$B$43+($B$55-Inputs!$B$43)*((1/(1+EXP(-$B$57*($A26-$B$56))))-(1/(1+EXP(-$B$57*(2026-$B$56)))))/(1-(1/(1+EXP(-$B$57*(2026-$B$56)))))</f>
        <v>563.171379018617</v>
      </c>
      <c r="S26" s="73" t="n">
        <f aca="false">MAX($B$58,Inputs!$B$44*(1-Inputs!$B$45)^B26)</f>
        <v>130</v>
      </c>
      <c r="T26" s="24" t="n">
        <f aca="false">R26*S26/1000</f>
        <v>73.2122792724202</v>
      </c>
      <c r="U26" s="24" t="n">
        <f aca="false">U25*(1+$B$60*Inputs!$B$48^(B26-1))</f>
        <v>47.9979315613457</v>
      </c>
      <c r="V26" s="78" t="n">
        <f aca="false">G26+I26+M26+Q26+T26+U26</f>
        <v>625.127509489231</v>
      </c>
      <c r="W26" s="24" t="n">
        <f aca="false">G26*(Inputs!$B$33+($B$38-Inputs!$B$33)*C26)+I26*$B$43+M26*(Inputs!$B$38+($B$49-Inputs!$B$38)*C26)+Q26*(Inputs!$B$42+($B$54-Inputs!$B$42)*C26)+T26*(Inputs!$B$46+($B$59-Inputs!$B$46)*C26)+U26*$B$61-V26*Inputs!$B$49</f>
        <v>188.389718217525</v>
      </c>
      <c r="X26" s="24" t="n">
        <f aca="false">(W26-V26*(Inputs!$B$50+Inputs!$B$51))*(1-Inputs!$B$52)</f>
        <v>99.4428041421955</v>
      </c>
      <c r="Y26" s="76" t="n">
        <f aca="false">$B$62+($B$63-$B$62)*MIN(1,MAX(0,(A26-2027)/(Inputs!$B$26-2027)))</f>
        <v>15</v>
      </c>
      <c r="Z26" s="77" t="n">
        <f aca="false">Inputs!$B$11*(1+$B$64)^B26</f>
        <v>4.72424114543795</v>
      </c>
      <c r="AA26" s="22" t="n">
        <f aca="false">MIN(1,B26/Inputs!$B$25)*(W27*Y26+Inputs!$B$28)+(1-MIN(1,B26/Inputs!$B$25))*Inputs!$B$9*Inputs!$B$11</f>
        <v>2928.82439059502</v>
      </c>
      <c r="AB26" s="79" t="n">
        <f aca="false">AA26/Z26</f>
        <v>619.956581476223</v>
      </c>
      <c r="AC26" s="22" t="n">
        <f aca="false">Inputs!$B$53+($B$65-Inputs!$B$53)*((1/(1+EXP(-$B$67*($A26-$B$66))))-(1/(1+EXP(-$B$67*(2026-$B$66)))))/(1-(1/(1+EXP(-$B$67*(2026-$B$66)))))</f>
        <v>987.545745032793</v>
      </c>
      <c r="AD26" s="22" t="n">
        <f aca="false">AC26*(Inputs!$B$54+($B$68-Inputs!$B$54)*C26)</f>
        <v>395.018298013117</v>
      </c>
      <c r="AE26" s="75" t="n">
        <f aca="false">Inputs!$B$13*(1+$B$69)^B26</f>
        <v>19.38130157961</v>
      </c>
      <c r="AF26" s="22" t="n">
        <f aca="false">MIN(1,B26/Inputs!$B$25)*(AD27*Y26)+(1-MIN(1,B26/Inputs!$B$25))*Inputs!$B$12*Inputs!$B$13</f>
        <v>5949.70889032531</v>
      </c>
      <c r="AG26" s="19" t="n">
        <f aca="false">AF26/AE26</f>
        <v>306.981905517876</v>
      </c>
      <c r="AH26" s="73" t="n">
        <f aca="false">IF(AND(Inputs!$B$19="Yes",A26&gt;=$B$5),1,0)</f>
        <v>1</v>
      </c>
      <c r="AI26" s="22" t="n">
        <f aca="false">(AA26+AF26)*(1+IF(AH26=1,$B$70*MIN(1,(A26-$B$5+1)/3),0))</f>
        <v>8878.53328092033</v>
      </c>
      <c r="AJ26" s="75" t="n">
        <f aca="false">AE26+Z26*$B$4</f>
        <v>30.4144362220665</v>
      </c>
      <c r="AK26" s="58" t="n">
        <f aca="false">IF(AH26=1,Z26*$B$4/AJ26,1)</f>
        <v>0.362759794786254</v>
      </c>
      <c r="AL26" s="79" t="n">
        <f aca="false">IF(AH26=1,$B$4*AI26/AJ26,AB26)</f>
        <v>681.754976479087</v>
      </c>
      <c r="AM26" s="19" t="n">
        <f aca="false">AL26*Holdings!$D$15</f>
        <v>251213.073733014</v>
      </c>
      <c r="AN26" s="80" t="n">
        <f aca="false">AM26/Inputs!$B$14</f>
        <v>189895.739461043</v>
      </c>
      <c r="AO26" s="21" t="n">
        <f aca="false">AN26/(1+Inputs!$B$17)^B26</f>
        <v>121754.674471533</v>
      </c>
      <c r="AP26" s="20" t="n">
        <f aca="false">AL26/Inputs!$B$9</f>
        <v>1.8180132706109</v>
      </c>
    </row>
    <row r="27" customFormat="false" ht="15" hidden="false" customHeight="false" outlineLevel="0" collapsed="false">
      <c r="A27" s="73" t="n">
        <v>2045</v>
      </c>
      <c r="B27" s="73" t="n">
        <f aca="false">A27-2026</f>
        <v>19</v>
      </c>
      <c r="C27" s="74" t="n">
        <f aca="false">MIN(1,B27/Inputs!$B$27)</f>
        <v>1</v>
      </c>
      <c r="D27" s="75" t="n">
        <f aca="false">Inputs!$B$30+($B$33-Inputs!$B$30)*((1/(1+EXP(-$B$35*($A27-$B$34))))-(1/(1+EXP(-$B$35*(2026-$B$34)))))/(1-(1/(1+EXP(-$B$35*(2026-$B$34)))))</f>
        <v>5.78793088766632</v>
      </c>
      <c r="E27" s="76" t="n">
        <f aca="false">E26-J26+D27+J27</f>
        <v>91.0096618777675</v>
      </c>
      <c r="F27" s="76" t="n">
        <f aca="false">MAX($B$37,Inputs!$B$32*(1+$B$36)^B27)</f>
        <v>32</v>
      </c>
      <c r="G27" s="24" t="n">
        <f aca="false">D27*F27</f>
        <v>185.213788405322</v>
      </c>
      <c r="H27" s="75" t="n">
        <f aca="false">Inputs!$B$34+($B$39-Inputs!$B$34)*((1/(1+EXP(-$B$41*($A27-$B$40))))-(1/(1+EXP(-$B$41*(2026-$B$40)))))/(1-(1/(1+EXP(-$B$41*(2026-$B$40)))))</f>
        <v>24.0094282215638</v>
      </c>
      <c r="I27" s="24" t="n">
        <f aca="false">H27*$B$42*12/1000</f>
        <v>23.0490510927013</v>
      </c>
      <c r="J27" s="77" t="n">
        <f aca="false">Inputs!$B$35+($B$44-Inputs!$B$35)*((1/(1+EXP(-$B$46*($A27-$B$45))))-(1/(1+EXP(-$B$46*(2026-$B$45)))))/(1-(1/(1+EXP(-$B$46*(2026-$B$45)))))</f>
        <v>4.80184642470693</v>
      </c>
      <c r="K27" s="77" t="n">
        <f aca="false">(J27+J26)/2</f>
        <v>4.75591132959015</v>
      </c>
      <c r="L27" s="75" t="n">
        <f aca="false">MAX($B$48,Inputs!$B$36*(1-Inputs!$B$37)^B27)</f>
        <v>1</v>
      </c>
      <c r="M27" s="24" t="n">
        <f aca="false">K27*$B$47*L27</f>
        <v>237.795566479507</v>
      </c>
      <c r="N27" s="77" t="n">
        <f aca="false">Inputs!$B$39+($B$50-Inputs!$B$39)*((1/(1+EXP(-$B$52*($A27-$B$51))))-(1/(1+EXP(-$B$52*(2026-$B$51)))))/(1-(1/(1+EXP(-$B$52*(2026-$B$51)))))</f>
        <v>2.74952358552362</v>
      </c>
      <c r="O27" s="75" t="n">
        <f aca="false">O26+N27</f>
        <v>19.8469251996916</v>
      </c>
      <c r="P27" s="76" t="n">
        <f aca="false">MAX($B$53,Inputs!$B$40*(1-Inputs!$B$41)^B27)</f>
        <v>25</v>
      </c>
      <c r="Q27" s="24" t="n">
        <f aca="false">N27*P27</f>
        <v>68.7380896380906</v>
      </c>
      <c r="R27" s="22" t="n">
        <f aca="false">Inputs!$B$43+($B$55-Inputs!$B$43)*((1/(1+EXP(-$B$57*($A27-$B$56))))-(1/(1+EXP(-$B$57*(2026-$B$56)))))/(1-(1/(1+EXP(-$B$57*(2026-$B$56)))))</f>
        <v>572.263991990726</v>
      </c>
      <c r="S27" s="73" t="n">
        <f aca="false">MAX($B$58,Inputs!$B$44*(1-Inputs!$B$45)^B27)</f>
        <v>130</v>
      </c>
      <c r="T27" s="24" t="n">
        <f aca="false">R27*S27/1000</f>
        <v>74.3943189587943</v>
      </c>
      <c r="U27" s="24" t="n">
        <f aca="false">U26*(1+$B$60*Inputs!$B$48^(B27-1))</f>
        <v>49.2978484797252</v>
      </c>
      <c r="V27" s="78" t="n">
        <f aca="false">G27+I27+M27+Q27+T27+U27</f>
        <v>638.488663054141</v>
      </c>
      <c r="W27" s="24" t="n">
        <f aca="false">G27*(Inputs!$B$33+($B$38-Inputs!$B$33)*C27)+I27*$B$43+M27*(Inputs!$B$38+($B$49-Inputs!$B$38)*C27)+Q27*(Inputs!$B$42+($B$54-Inputs!$B$42)*C27)+T27*(Inputs!$B$46+($B$59-Inputs!$B$46)*C27)+U27*$B$61-V27*Inputs!$B$49</f>
        <v>192.741626039668</v>
      </c>
      <c r="X27" s="24" t="n">
        <f aca="false">(W27-V27*(Inputs!$B$50+Inputs!$B$51))*(1-Inputs!$B$52)</f>
        <v>101.825280190061</v>
      </c>
      <c r="Y27" s="76" t="n">
        <f aca="false">$B$62+($B$63-$B$62)*MIN(1,MAX(0,(A27-2027)/(Inputs!$B$26-2027)))</f>
        <v>15</v>
      </c>
      <c r="Z27" s="77" t="n">
        <f aca="false">Inputs!$B$11*(1+$B$64)^B27</f>
        <v>4.77148355689233</v>
      </c>
      <c r="AA27" s="22" t="n">
        <f aca="false">MIN(1,B27/Inputs!$B$25)*(W28*Y27+Inputs!$B$28)+(1-MIN(1,B27/Inputs!$B$25))*Inputs!$B$9*Inputs!$B$11</f>
        <v>2975.7715849708</v>
      </c>
      <c r="AB27" s="79" t="n">
        <f aca="false">AA27/Z27</f>
        <v>623.657516470396</v>
      </c>
      <c r="AC27" s="22" t="n">
        <f aca="false">Inputs!$B$53+($B$65-Inputs!$B$53)*((1/(1+EXP(-$B$67*($A27-$B$66))))-(1/(1+EXP(-$B$67*(2026-$B$66)))))/(1-(1/(1+EXP(-$B$67*(2026-$B$66)))))</f>
        <v>991.618148387551</v>
      </c>
      <c r="AD27" s="22" t="n">
        <f aca="false">AC27*(Inputs!$B$54+($B$68-Inputs!$B$54)*C27)</f>
        <v>396.64725935502</v>
      </c>
      <c r="AE27" s="75" t="n">
        <f aca="false">Inputs!$B$13*(1+$B$69)^B27</f>
        <v>19.7689276112022</v>
      </c>
      <c r="AF27" s="22" t="n">
        <f aca="false">MIN(1,B27/Inputs!$B$25)*(AD28*Y27)+(1-MIN(1,B27/Inputs!$B$25))*Inputs!$B$12*Inputs!$B$13</f>
        <v>5966.19789837255</v>
      </c>
      <c r="AG27" s="19" t="n">
        <f aca="false">AF27/AE27</f>
        <v>301.79673959612</v>
      </c>
      <c r="AH27" s="73" t="n">
        <f aca="false">IF(AND(Inputs!$B$19="Yes",A27&gt;=$B$5),1,0)</f>
        <v>1</v>
      </c>
      <c r="AI27" s="22" t="n">
        <f aca="false">(AA27+AF27)*(1+IF(AH27=1,$B$70*MIN(1,(A27-$B$5+1)/3),0))</f>
        <v>8941.96948334335</v>
      </c>
      <c r="AJ27" s="75" t="n">
        <f aca="false">AE27+Z27*$B$4</f>
        <v>30.9123936000832</v>
      </c>
      <c r="AK27" s="58" t="n">
        <f aca="false">IF(AH27=1,Z27*$B$4/AJ27,1)</f>
        <v>0.360485381140172</v>
      </c>
      <c r="AL27" s="79" t="n">
        <f aca="false">IF(AH27=1,$B$4*AI27/AJ27,AB27)</f>
        <v>675.565416691124</v>
      </c>
      <c r="AM27" s="19" t="n">
        <f aca="false">AL27*Holdings!$D$15</f>
        <v>248932.344742345</v>
      </c>
      <c r="AN27" s="80" t="n">
        <f aca="false">AM27/Inputs!$B$14</f>
        <v>188171.702125894</v>
      </c>
      <c r="AO27" s="21" t="n">
        <f aca="false">AN27/(1+Inputs!$B$17)^B27</f>
        <v>117706.615127613</v>
      </c>
      <c r="AP27" s="20" t="n">
        <f aca="false">AL27/Inputs!$B$9</f>
        <v>1.801507777843</v>
      </c>
    </row>
    <row r="28" customFormat="false" ht="15" hidden="false" customHeight="false" outlineLevel="0" collapsed="false">
      <c r="A28" s="73" t="n">
        <v>2046</v>
      </c>
      <c r="B28" s="73" t="n">
        <f aca="false">A28-2026</f>
        <v>20</v>
      </c>
      <c r="C28" s="74" t="n">
        <f aca="false">MIN(1,B28/Inputs!$B$27)</f>
        <v>1</v>
      </c>
      <c r="D28" s="75" t="n">
        <f aca="false">Inputs!$B$30+($B$33-Inputs!$B$30)*((1/(1+EXP(-$B$35*($A28-$B$34))))-(1/(1+EXP(-$B$35*(2026-$B$34)))))/(1-(1/(1+EXP(-$B$35*(2026-$B$34)))))</f>
        <v>5.84094018668971</v>
      </c>
      <c r="E28" s="76" t="n">
        <f aca="false">E27-J27+D28+J28</f>
        <v>96.9141918172811</v>
      </c>
      <c r="F28" s="76" t="n">
        <f aca="false">MAX($B$37,Inputs!$B$32*(1+$B$36)^B28)</f>
        <v>32</v>
      </c>
      <c r="G28" s="24" t="n">
        <f aca="false">D28*F28</f>
        <v>186.910085974071</v>
      </c>
      <c r="H28" s="75" t="n">
        <f aca="false">Inputs!$B$34+($B$39-Inputs!$B$34)*((1/(1+EXP(-$B$41*($A28-$B$40))))-(1/(1+EXP(-$B$41*(2026-$B$40)))))/(1-(1/(1+EXP(-$B$41*(2026-$B$40)))))</f>
        <v>24.2933812279177</v>
      </c>
      <c r="I28" s="24" t="n">
        <f aca="false">H28*$B$42*12/1000</f>
        <v>23.321645978801</v>
      </c>
      <c r="J28" s="77" t="n">
        <f aca="false">Inputs!$B$35+($B$44-Inputs!$B$35)*((1/(1+EXP(-$B$46*($A28-$B$45))))-(1/(1+EXP(-$B$46*(2026-$B$45)))))/(1-(1/(1+EXP(-$B$46*(2026-$B$45)))))</f>
        <v>4.86543617753077</v>
      </c>
      <c r="K28" s="77" t="n">
        <f aca="false">(J28+J27)/2</f>
        <v>4.83364130111885</v>
      </c>
      <c r="L28" s="75" t="n">
        <f aca="false">MAX($B$48,Inputs!$B$36*(1-Inputs!$B$37)^B28)</f>
        <v>1</v>
      </c>
      <c r="M28" s="24" t="n">
        <f aca="false">K28*$B$47*L28</f>
        <v>241.682065055942</v>
      </c>
      <c r="N28" s="77" t="n">
        <f aca="false">Inputs!$B$39+($B$50-Inputs!$B$39)*((1/(1+EXP(-$B$52*($A28-$B$51))))-(1/(1+EXP(-$B$52*(2026-$B$51)))))/(1-(1/(1+EXP(-$B$52*(2026-$B$51)))))</f>
        <v>2.8273669768178</v>
      </c>
      <c r="O28" s="75" t="n">
        <f aca="false">O27+N28</f>
        <v>22.6742921765094</v>
      </c>
      <c r="P28" s="76" t="n">
        <f aca="false">MAX($B$53,Inputs!$B$40*(1-Inputs!$B$41)^B28)</f>
        <v>25</v>
      </c>
      <c r="Q28" s="24" t="n">
        <f aca="false">N28*P28</f>
        <v>70.6841744204449</v>
      </c>
      <c r="R28" s="22" t="n">
        <f aca="false">Inputs!$B$43+($B$55-Inputs!$B$43)*((1/(1+EXP(-$B$57*($A28-$B$56))))-(1/(1+EXP(-$B$57*(2026-$B$56)))))/(1-(1/(1+EXP(-$B$57*(2026-$B$56)))))</f>
        <v>579.196950431017</v>
      </c>
      <c r="S28" s="73" t="n">
        <f aca="false">MAX($B$58,Inputs!$B$44*(1-Inputs!$B$45)^B28)</f>
        <v>130</v>
      </c>
      <c r="T28" s="24" t="n">
        <f aca="false">R28*S28/1000</f>
        <v>75.2956035560322</v>
      </c>
      <c r="U28" s="24" t="n">
        <f aca="false">U27*(1+$B$60*Inputs!$B$48^(B28-1))</f>
        <v>50.5395121896047</v>
      </c>
      <c r="V28" s="78" t="n">
        <f aca="false">G28+I28+M28+Q28+T28+U28</f>
        <v>648.433087174896</v>
      </c>
      <c r="W28" s="24" t="n">
        <f aca="false">G28*(Inputs!$B$33+($B$38-Inputs!$B$33)*C28)+I28*$B$43+M28*(Inputs!$B$38+($B$49-Inputs!$B$38)*C28)+Q28*(Inputs!$B$42+($B$54-Inputs!$B$42)*C28)+T28*(Inputs!$B$46+($B$59-Inputs!$B$46)*C28)+U28*$B$61-V28*Inputs!$B$49</f>
        <v>195.871438998053</v>
      </c>
      <c r="X28" s="24" t="n">
        <f aca="false">(W28-V28*(Inputs!$B$50+Inputs!$B$51))*(1-Inputs!$B$52)</f>
        <v>103.512222921645</v>
      </c>
      <c r="Y28" s="76" t="n">
        <f aca="false">$B$62+($B$63-$B$62)*MIN(1,MAX(0,(A28-2027)/(Inputs!$B$26-2027)))</f>
        <v>15</v>
      </c>
      <c r="Z28" s="77" t="n">
        <f aca="false">Inputs!$B$11*(1+$B$64)^B28</f>
        <v>4.81919839246125</v>
      </c>
      <c r="AA28" s="22" t="n">
        <f aca="false">MIN(1,B28/Inputs!$B$25)*(W29*Y28+Inputs!$B$28)+(1-MIN(1,B28/Inputs!$B$25))*Inputs!$B$9*Inputs!$B$11</f>
        <v>3009.26081077845</v>
      </c>
      <c r="AB28" s="79" t="n">
        <f aca="false">AA28/Z28</f>
        <v>624.431817433763</v>
      </c>
      <c r="AC28" s="22" t="n">
        <f aca="false">Inputs!$B$53+($B$65-Inputs!$B$53)*((1/(1+EXP(-$B$67*($A28-$B$66))))-(1/(1+EXP(-$B$67*(2026-$B$66)))))/(1-(1/(1+EXP(-$B$67*(2026-$B$66)))))</f>
        <v>994.366316395425</v>
      </c>
      <c r="AD28" s="22" t="n">
        <f aca="false">AC28*(Inputs!$B$54+($B$68-Inputs!$B$54)*C28)</f>
        <v>397.74652655817</v>
      </c>
      <c r="AE28" s="75" t="n">
        <f aca="false">Inputs!$B$13*(1+$B$69)^B28</f>
        <v>20.1643061634263</v>
      </c>
      <c r="AF28" s="22" t="n">
        <f aca="false">MIN(1,B28/Inputs!$B$25)*(AD29*Y28)+(1-MIN(1,B28/Inputs!$B$25))*Inputs!$B$12*Inputs!$B$13</f>
        <v>5977.30071697094</v>
      </c>
      <c r="AG28" s="19" t="n">
        <f aca="false">AF28/AE28</f>
        <v>296.429773904767</v>
      </c>
      <c r="AH28" s="73" t="n">
        <f aca="false">IF(AND(Inputs!$B$19="Yes",A28&gt;=$B$5),1,0)</f>
        <v>1</v>
      </c>
      <c r="AI28" s="22" t="n">
        <f aca="false">(AA28+AF28)*(1+IF(AH28=1,$B$70*MIN(1,(A28-$B$5+1)/3),0))</f>
        <v>8986.56152774939</v>
      </c>
      <c r="AJ28" s="75" t="n">
        <f aca="false">AE28+Z28*$B$4</f>
        <v>31.4192068121961</v>
      </c>
      <c r="AK28" s="58" t="n">
        <f aca="false">IF(AH28=1,Z28*$B$4/AJ28,1)</f>
        <v>0.358217211403343</v>
      </c>
      <c r="AL28" s="79" t="n">
        <f aca="false">IF(AH28=1,$B$4*AI28/AJ28,AB28)</f>
        <v>667.982670232193</v>
      </c>
      <c r="AM28" s="19" t="n">
        <f aca="false">AL28*Holdings!$D$15</f>
        <v>246138.254327158</v>
      </c>
      <c r="AN28" s="80" t="n">
        <f aca="false">AM28/Inputs!$B$14</f>
        <v>186059.607171486</v>
      </c>
      <c r="AO28" s="21" t="n">
        <f aca="false">AN28/(1+Inputs!$B$17)^B28</f>
        <v>113546.771896486</v>
      </c>
      <c r="AP28" s="20" t="n">
        <f aca="false">AL28/Inputs!$B$9</f>
        <v>1.78128712061918</v>
      </c>
    </row>
    <row r="29" customFormat="false" ht="15" hidden="false" customHeight="false" outlineLevel="0" collapsed="false">
      <c r="A29" s="81" t="n">
        <v>2047</v>
      </c>
      <c r="B29" s="81" t="n">
        <f aca="false">A29-2026</f>
        <v>21</v>
      </c>
      <c r="C29" s="82" t="n">
        <f aca="false">MIN(1,B29/Inputs!$B$27)</f>
        <v>1</v>
      </c>
      <c r="D29" s="83" t="n">
        <f aca="false">Inputs!$B$30+($B$33-Inputs!$B$30)*((1/(1+EXP(-$B$35*($A29-$B$34))))-(1/(1+EXP(-$B$35*(2026-$B$34)))))/(1-(1/(1+EXP(-$B$35*(2026-$B$34)))))</f>
        <v>5.88106912027803</v>
      </c>
      <c r="E29" s="84" t="n">
        <f aca="false">E28-J28+D29+J29</f>
        <v>102.838826010217</v>
      </c>
      <c r="F29" s="84" t="n">
        <f aca="false">MAX($B$37,Inputs!$B$32*(1+$B$36)^B29)</f>
        <v>32</v>
      </c>
      <c r="G29" s="85" t="n">
        <f aca="false">D29*F29</f>
        <v>188.194211848897</v>
      </c>
      <c r="H29" s="83" t="n">
        <f aca="false">Inputs!$B$34+($B$39-Inputs!$B$34)*((1/(1+EXP(-$B$41*($A29-$B$40))))-(1/(1+EXP(-$B$41*(2026-$B$40)))))/(1-(1/(1+EXP(-$B$41*(2026-$B$40)))))</f>
        <v>24.4977061860844</v>
      </c>
      <c r="I29" s="85" t="n">
        <f aca="false">H29*$B$42*12/1000</f>
        <v>23.517797938641</v>
      </c>
      <c r="J29" s="86" t="n">
        <f aca="false">Inputs!$B$35+($B$44-Inputs!$B$35)*((1/(1+EXP(-$B$46*($A29-$B$45))))-(1/(1+EXP(-$B$46*(2026-$B$45)))))/(1-(1/(1+EXP(-$B$46*(2026-$B$45)))))</f>
        <v>4.90900125018873</v>
      </c>
      <c r="K29" s="86" t="n">
        <f aca="false">(J29+J28)/2</f>
        <v>4.88721871385975</v>
      </c>
      <c r="L29" s="83" t="n">
        <f aca="false">MAX($B$48,Inputs!$B$36*(1-Inputs!$B$37)^B29)</f>
        <v>1</v>
      </c>
      <c r="M29" s="85" t="n">
        <f aca="false">K29*$B$47*L29</f>
        <v>244.360935692988</v>
      </c>
      <c r="N29" s="86" t="n">
        <f aca="false">Inputs!$B$39+($B$50-Inputs!$B$39)*((1/(1+EXP(-$B$52*($A29-$B$51))))-(1/(1+EXP(-$B$52*(2026-$B$51)))))/(1-(1/(1+EXP(-$B$52*(2026-$B$51)))))</f>
        <v>2.88205155982617</v>
      </c>
      <c r="O29" s="83" t="n">
        <f aca="false">O28+N29</f>
        <v>25.5563437363356</v>
      </c>
      <c r="P29" s="84" t="n">
        <f aca="false">MAX($B$53,Inputs!$B$40*(1-Inputs!$B$41)^B29)</f>
        <v>25</v>
      </c>
      <c r="Q29" s="85" t="n">
        <f aca="false">N29*P29</f>
        <v>72.0512889956543</v>
      </c>
      <c r="R29" s="87" t="n">
        <f aca="false">Inputs!$B$43+($B$55-Inputs!$B$43)*((1/(1+EXP(-$B$57*($A29-$B$56))))-(1/(1+EXP(-$B$57*(2026-$B$56)))))/(1-(1/(1+EXP(-$B$57*(2026-$B$56)))))</f>
        <v>584.445316924191</v>
      </c>
      <c r="S29" s="81" t="n">
        <f aca="false">MAX($B$58,Inputs!$B$44*(1-Inputs!$B$45)^B29)</f>
        <v>130</v>
      </c>
      <c r="T29" s="85" t="n">
        <f aca="false">R29*S29/1000</f>
        <v>75.9778912001448</v>
      </c>
      <c r="U29" s="85" t="n">
        <f aca="false">U28*(1+$B$60*Inputs!$B$48^(B29-1))</f>
        <v>51.7233440306797</v>
      </c>
      <c r="V29" s="78" t="n">
        <f aca="false">G29+I29+M29+Q29+T29+U29</f>
        <v>655.825469707004</v>
      </c>
      <c r="W29" s="85" t="n">
        <f aca="false">G29*(Inputs!$B$33+($B$38-Inputs!$B$33)*C29)+I29*$B$43+M29*(Inputs!$B$38+($B$49-Inputs!$B$38)*C29)+Q29*(Inputs!$B$42+($B$54-Inputs!$B$42)*C29)+T29*(Inputs!$B$46+($B$59-Inputs!$B$46)*C29)+U29*$B$61-V29*Inputs!$B$49</f>
        <v>198.104054051897</v>
      </c>
      <c r="X29" s="85" t="n">
        <f aca="false">(W29-V29*(Inputs!$B$50+Inputs!$B$51))*(1-Inputs!$B$52)</f>
        <v>104.691990594145</v>
      </c>
      <c r="Y29" s="84" t="n">
        <f aca="false">$B$62+($B$63-$B$62)*MIN(1,MAX(0,(A29-2027)/(Inputs!$B$26-2027)))</f>
        <v>15</v>
      </c>
      <c r="Z29" s="86" t="n">
        <f aca="false">Inputs!$B$11*(1+$B$64)^B29</f>
        <v>4.86739037638586</v>
      </c>
      <c r="AA29" s="88"/>
      <c r="AB29" s="4"/>
      <c r="AC29" s="87" t="n">
        <f aca="false">Inputs!$B$53+($B$65-Inputs!$B$53)*((1/(1+EXP(-$B$67*($A29-$B$66))))-(1/(1+EXP(-$B$67*(2026-$B$66)))))/(1-(1/(1+EXP(-$B$67*(2026-$B$66)))))</f>
        <v>996.216786161823</v>
      </c>
      <c r="AD29" s="87" t="n">
        <f aca="false">AC29*(Inputs!$B$54+($B$68-Inputs!$B$54)*C29)</f>
        <v>398.486714464729</v>
      </c>
      <c r="AE29" s="83" t="n">
        <f aca="false">Inputs!$B$13*(1+$B$69)^B29</f>
        <v>20.5675922866948</v>
      </c>
      <c r="AF29" s="88"/>
      <c r="AG29" s="88"/>
      <c r="AH29" s="88"/>
      <c r="AI29" s="88"/>
      <c r="AJ29" s="88"/>
      <c r="AK29" s="88"/>
      <c r="AL29" s="4"/>
      <c r="AM29" s="88"/>
      <c r="AN29" s="4"/>
      <c r="AO29" s="88"/>
      <c r="AP29" s="88"/>
    </row>
    <row r="31" customFormat="false" ht="15" hidden="false" customHeight="false" outlineLevel="0" collapsed="false">
      <c r="D31" s="25" t="s">
        <v>345</v>
      </c>
    </row>
    <row r="32" customFormat="false" ht="15" hidden="false" customHeight="false" outlineLevel="0" collapsed="false">
      <c r="A32" s="4" t="s">
        <v>346</v>
      </c>
    </row>
    <row r="33" customFormat="false" ht="15" hidden="false" customHeight="false" outlineLevel="0" collapsed="false">
      <c r="A33" s="1" t="s">
        <v>194</v>
      </c>
      <c r="B33" s="89" t="n">
        <f aca="false">INDEX(Inputs!$C$66:$E$66,$B$2)</f>
        <v>6</v>
      </c>
    </row>
    <row r="34" customFormat="false" ht="15" hidden="false" customHeight="false" outlineLevel="0" collapsed="false">
      <c r="A34" s="1" t="s">
        <v>197</v>
      </c>
      <c r="B34" s="72" t="n">
        <f aca="false">INDEX(Inputs!$C$67:$E$67,$B$2)</f>
        <v>2035</v>
      </c>
    </row>
    <row r="35" customFormat="false" ht="15" hidden="false" customHeight="false" outlineLevel="0" collapsed="false">
      <c r="A35" s="1" t="s">
        <v>198</v>
      </c>
      <c r="B35" s="90" t="n">
        <f aca="false">INDEX(Inputs!$C$68:$E$68,$B$2)</f>
        <v>0.3</v>
      </c>
    </row>
    <row r="36" customFormat="false" ht="15" hidden="false" customHeight="false" outlineLevel="0" collapsed="false">
      <c r="A36" s="1" t="s">
        <v>199</v>
      </c>
      <c r="B36" s="91" t="n">
        <f aca="false">INDEX(Inputs!$C$69:$E$69,$B$2)</f>
        <v>-0.015</v>
      </c>
    </row>
    <row r="37" customFormat="false" ht="15" hidden="false" customHeight="false" outlineLevel="0" collapsed="false">
      <c r="A37" s="1" t="s">
        <v>201</v>
      </c>
      <c r="B37" s="89" t="n">
        <f aca="false">INDEX(Inputs!$C$70:$E$70,$B$2)</f>
        <v>32</v>
      </c>
    </row>
    <row r="38" customFormat="false" ht="15" hidden="false" customHeight="false" outlineLevel="0" collapsed="false">
      <c r="A38" s="1" t="s">
        <v>202</v>
      </c>
      <c r="B38" s="91" t="n">
        <f aca="false">INDEX(Inputs!$C$71:$E$71,$B$2)</f>
        <v>0.14</v>
      </c>
    </row>
    <row r="39" customFormat="false" ht="15" hidden="false" customHeight="false" outlineLevel="0" collapsed="false">
      <c r="A39" s="1" t="s">
        <v>204</v>
      </c>
      <c r="B39" s="89" t="n">
        <f aca="false">INDEX(Inputs!$C$73:$E$73,$B$2)</f>
        <v>25</v>
      </c>
    </row>
    <row r="40" customFormat="false" ht="15" hidden="false" customHeight="false" outlineLevel="0" collapsed="false">
      <c r="A40" s="1" t="s">
        <v>206</v>
      </c>
      <c r="B40" s="72" t="n">
        <f aca="false">INDEX(Inputs!$C$74:$E$74,$B$2)</f>
        <v>2036</v>
      </c>
    </row>
    <row r="41" customFormat="false" ht="15" hidden="false" customHeight="false" outlineLevel="0" collapsed="false">
      <c r="A41" s="1" t="s">
        <v>207</v>
      </c>
      <c r="B41" s="90" t="n">
        <f aca="false">INDEX(Inputs!$C$75:$E$75,$B$2)</f>
        <v>0.35</v>
      </c>
    </row>
    <row r="42" customFormat="false" ht="15" hidden="false" customHeight="false" outlineLevel="0" collapsed="false">
      <c r="A42" s="1" t="s">
        <v>208</v>
      </c>
      <c r="B42" s="92" t="n">
        <f aca="false">INDEX(Inputs!$C$76:$E$76,$B$2)</f>
        <v>80</v>
      </c>
    </row>
    <row r="43" customFormat="false" ht="15" hidden="false" customHeight="false" outlineLevel="0" collapsed="false">
      <c r="A43" s="1" t="s">
        <v>211</v>
      </c>
      <c r="B43" s="91" t="n">
        <f aca="false">INDEX(Inputs!$C$77:$E$77,$B$2)</f>
        <v>0.75</v>
      </c>
    </row>
    <row r="44" customFormat="false" ht="15" hidden="false" customHeight="false" outlineLevel="0" collapsed="false">
      <c r="A44" s="1" t="s">
        <v>214</v>
      </c>
      <c r="B44" s="89" t="n">
        <f aca="false">INDEX(Inputs!$C$79:$E$79,$B$2)</f>
        <v>5</v>
      </c>
    </row>
    <row r="45" customFormat="false" ht="15" hidden="false" customHeight="false" outlineLevel="0" collapsed="false">
      <c r="A45" s="1" t="s">
        <v>217</v>
      </c>
      <c r="B45" s="72" t="n">
        <f aca="false">INDEX(Inputs!$C$80:$E$80,$B$2)</f>
        <v>2037</v>
      </c>
    </row>
    <row r="46" customFormat="false" ht="15" hidden="false" customHeight="false" outlineLevel="0" collapsed="false">
      <c r="A46" s="1" t="s">
        <v>218</v>
      </c>
      <c r="B46" s="90" t="n">
        <f aca="false">INDEX(Inputs!$C$81:$E$81,$B$2)</f>
        <v>0.4</v>
      </c>
    </row>
    <row r="47" customFormat="false" ht="15" hidden="false" customHeight="false" outlineLevel="0" collapsed="false">
      <c r="A47" s="1" t="s">
        <v>219</v>
      </c>
      <c r="B47" s="89" t="n">
        <f aca="false">INDEX(Inputs!$C$82:$E$82,$B$2)</f>
        <v>50</v>
      </c>
    </row>
    <row r="48" customFormat="false" ht="15" hidden="false" customHeight="false" outlineLevel="0" collapsed="false">
      <c r="A48" s="1" t="s">
        <v>221</v>
      </c>
      <c r="B48" s="67" t="n">
        <f aca="false">INDEX(Inputs!$C$83:$E$83,$B$2)</f>
        <v>1</v>
      </c>
    </row>
    <row r="49" customFormat="false" ht="15" hidden="false" customHeight="false" outlineLevel="0" collapsed="false">
      <c r="A49" s="1" t="s">
        <v>223</v>
      </c>
      <c r="B49" s="91" t="n">
        <f aca="false">INDEX(Inputs!$C$84:$E$84,$B$2)</f>
        <v>0.5</v>
      </c>
    </row>
    <row r="50" customFormat="false" ht="15" hidden="false" customHeight="false" outlineLevel="0" collapsed="false">
      <c r="A50" s="1" t="s">
        <v>225</v>
      </c>
      <c r="B50" s="89" t="n">
        <f aca="false">INDEX(Inputs!$C$86:$E$86,$B$2)</f>
        <v>3</v>
      </c>
    </row>
    <row r="51" customFormat="false" ht="15" hidden="false" customHeight="false" outlineLevel="0" collapsed="false">
      <c r="A51" s="1" t="s">
        <v>227</v>
      </c>
      <c r="B51" s="72" t="n">
        <f aca="false">INDEX(Inputs!$C$87:$E$87,$B$2)</f>
        <v>2039</v>
      </c>
    </row>
    <row r="52" customFormat="false" ht="15" hidden="false" customHeight="false" outlineLevel="0" collapsed="false">
      <c r="A52" s="1" t="s">
        <v>228</v>
      </c>
      <c r="B52" s="90" t="n">
        <f aca="false">INDEX(Inputs!$C$88:$E$88,$B$2)</f>
        <v>0.4</v>
      </c>
    </row>
    <row r="53" customFormat="false" ht="15" hidden="false" customHeight="false" outlineLevel="0" collapsed="false">
      <c r="A53" s="1" t="s">
        <v>229</v>
      </c>
      <c r="B53" s="89" t="n">
        <f aca="false">INDEX(Inputs!$C$89:$E$89,$B$2)</f>
        <v>25</v>
      </c>
    </row>
    <row r="54" customFormat="false" ht="15" hidden="false" customHeight="false" outlineLevel="0" collapsed="false">
      <c r="A54" s="1" t="s">
        <v>231</v>
      </c>
      <c r="B54" s="91" t="n">
        <f aca="false">INDEX(Inputs!$C$90:$E$90,$B$2)</f>
        <v>0.3</v>
      </c>
    </row>
    <row r="55" customFormat="false" ht="15" hidden="false" customHeight="false" outlineLevel="0" collapsed="false">
      <c r="A55" s="1" t="s">
        <v>233</v>
      </c>
      <c r="B55" s="93" t="n">
        <f aca="false">INDEX(Inputs!$C$92:$E$92,$B$2)</f>
        <v>600</v>
      </c>
    </row>
    <row r="56" customFormat="false" ht="15" hidden="false" customHeight="false" outlineLevel="0" collapsed="false">
      <c r="A56" s="1" t="s">
        <v>236</v>
      </c>
      <c r="B56" s="72" t="n">
        <f aca="false">INDEX(Inputs!$C$93:$E$93,$B$2)</f>
        <v>2035</v>
      </c>
    </row>
    <row r="57" customFormat="false" ht="15" hidden="false" customHeight="false" outlineLevel="0" collapsed="false">
      <c r="A57" s="1" t="s">
        <v>237</v>
      </c>
      <c r="B57" s="90" t="n">
        <f aca="false">INDEX(Inputs!$C$94:$E$94,$B$2)</f>
        <v>0.3</v>
      </c>
    </row>
    <row r="58" customFormat="false" ht="15" hidden="false" customHeight="false" outlineLevel="0" collapsed="false">
      <c r="A58" s="1" t="s">
        <v>238</v>
      </c>
      <c r="B58" s="92" t="n">
        <f aca="false">INDEX(Inputs!$C$95:$E$95,$B$2)</f>
        <v>130</v>
      </c>
    </row>
    <row r="59" customFormat="false" ht="15" hidden="false" customHeight="false" outlineLevel="0" collapsed="false">
      <c r="A59" s="1" t="s">
        <v>239</v>
      </c>
      <c r="B59" s="91" t="n">
        <f aca="false">INDEX(Inputs!$C$96:$E$96,$B$2)</f>
        <v>0.22</v>
      </c>
    </row>
    <row r="60" customFormat="false" ht="15" hidden="false" customHeight="false" outlineLevel="0" collapsed="false">
      <c r="A60" s="1" t="s">
        <v>242</v>
      </c>
      <c r="B60" s="91" t="n">
        <f aca="false">INDEX(Inputs!$C$98:$E$98,$B$2)</f>
        <v>0.1</v>
      </c>
    </row>
    <row r="61" customFormat="false" ht="15" hidden="false" customHeight="false" outlineLevel="0" collapsed="false">
      <c r="A61" s="1" t="s">
        <v>243</v>
      </c>
      <c r="B61" s="91" t="n">
        <f aca="false">INDEX(Inputs!$C$99:$E$99,$B$2)</f>
        <v>0.13</v>
      </c>
    </row>
    <row r="62" customFormat="false" ht="15" hidden="false" customHeight="false" outlineLevel="0" collapsed="false">
      <c r="A62" s="1" t="s">
        <v>244</v>
      </c>
      <c r="B62" s="94" t="n">
        <f aca="false">INDEX(Inputs!$C$100:$E$100,$B$2)</f>
        <v>30</v>
      </c>
    </row>
    <row r="63" customFormat="false" ht="15" hidden="false" customHeight="false" outlineLevel="0" collapsed="false">
      <c r="A63" s="1" t="s">
        <v>245</v>
      </c>
      <c r="B63" s="94" t="n">
        <f aca="false">INDEX(Inputs!$C$101:$E$101,$B$2)</f>
        <v>15</v>
      </c>
    </row>
    <row r="64" customFormat="false" ht="15" hidden="false" customHeight="false" outlineLevel="0" collapsed="false">
      <c r="A64" s="1" t="s">
        <v>246</v>
      </c>
      <c r="B64" s="91" t="n">
        <f aca="false">INDEX(Inputs!$C$102:$E$102,$B$2)</f>
        <v>0.01</v>
      </c>
    </row>
    <row r="65" customFormat="false" ht="15" hidden="false" customHeight="false" outlineLevel="0" collapsed="false">
      <c r="A65" s="1" t="s">
        <v>248</v>
      </c>
      <c r="B65" s="93" t="n">
        <f aca="false">INDEX(Inputs!$C$104:$E$104,$B$2)</f>
        <v>1000</v>
      </c>
    </row>
    <row r="66" customFormat="false" ht="15" hidden="false" customHeight="false" outlineLevel="0" collapsed="false">
      <c r="A66" s="1" t="s">
        <v>251</v>
      </c>
      <c r="B66" s="72" t="n">
        <f aca="false">INDEX(Inputs!$C$105:$E$105,$B$2)</f>
        <v>2033</v>
      </c>
    </row>
    <row r="67" customFormat="false" ht="15" hidden="false" customHeight="false" outlineLevel="0" collapsed="false">
      <c r="A67" s="1" t="s">
        <v>252</v>
      </c>
      <c r="B67" s="90" t="n">
        <f aca="false">INDEX(Inputs!$C$106:$E$106,$B$2)</f>
        <v>0.4</v>
      </c>
    </row>
    <row r="68" customFormat="false" ht="15" hidden="false" customHeight="false" outlineLevel="0" collapsed="false">
      <c r="A68" s="1" t="s">
        <v>253</v>
      </c>
      <c r="B68" s="91" t="n">
        <f aca="false">INDEX(Inputs!$C$107:$E$107,$B$2)</f>
        <v>0.4</v>
      </c>
    </row>
    <row r="69" customFormat="false" ht="15" hidden="false" customHeight="false" outlineLevel="0" collapsed="false">
      <c r="A69" s="1" t="s">
        <v>255</v>
      </c>
      <c r="B69" s="91" t="n">
        <f aca="false">INDEX(Inputs!$C$108:$E$108,$B$2)</f>
        <v>0.02</v>
      </c>
    </row>
    <row r="70" customFormat="false" ht="15" hidden="false" customHeight="false" outlineLevel="0" collapsed="false">
      <c r="A70" s="1" t="s">
        <v>257</v>
      </c>
      <c r="B70" s="91" t="n">
        <f aca="false">INDEX(Inputs!$C$109:$E$109,$B$2)</f>
        <v>0</v>
      </c>
    </row>
  </sheetData>
  <conditionalFormatting sqref="A8:AP28">
    <cfRule type="expression" priority="2" aboveAverage="0" equalAverage="0" bottom="0" percent="0" rank="0" text="" dxfId="7">
      <formula>AND(Inputs!$B$19="Yes",$A8=Inputs!$B$20)</formula>
    </cfRule>
  </conditionalFormatting>
  <conditionalFormatting sqref="AN8:AN28">
    <cfRule type="dataBar" priority="3">
      <dataBar showValue="1" minLength="10" maxLength="90">
        <cfvo type="num" val="0"/>
        <cfvo type="max" val="0"/>
        <color rgb="FF63BE7B"/>
      </dataBar>
      <extLst>
        <ext xmlns:x14="http://schemas.microsoft.com/office/spreadsheetml/2009/9/main" uri="{B025F937-C7B1-47D3-B67F-A62EFF666E3E}">
          <x14:id>{D5B0C085-32E0-4DDD-A84C-DCE0B8F8E1AD}</x14:id>
        </ext>
      </extLst>
    </cfRule>
  </conditionalFormatting>
  <conditionalFormatting sqref="AP8:AP28">
    <cfRule type="colorScale" priority="4">
      <colorScale>
        <cfvo type="num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B0C085-32E0-4DDD-A84C-DCE0B8F8E1AD}">
            <x14:dataBar minLength="10" maxLength="90" axisPosition="none" gradient="true">
              <x14:cfvo type="num">
                <xm:f>0</xm:f>
              </x14:cfvo>
              <x14:cfvo type="max"/>
              <x14:negativeFillColor rgb="FF63BE7B"/>
              <x14:axisColor rgb="FF000000"/>
            </x14:dataBar>
          </x14:cfRule>
          <xm:sqref>AN8:AN28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42" min="1" style="1" width="12"/>
  </cols>
  <sheetData>
    <row r="1" customFormat="false" ht="19.7" hidden="false" customHeight="false" outlineLevel="0" collapsed="false">
      <c r="A1" s="31" t="s">
        <v>349</v>
      </c>
    </row>
    <row r="2" customFormat="false" ht="15" hidden="false" customHeight="false" outlineLevel="0" collapsed="false">
      <c r="A2" s="1" t="s">
        <v>302</v>
      </c>
      <c r="B2" s="69" t="n">
        <f aca="false">3</f>
        <v>3</v>
      </c>
      <c r="C2" s="70" t="str">
        <f aca="false">INDEX(Inputs!$C$64:$E$64,$B$2)</f>
        <v>Conservative</v>
      </c>
    </row>
    <row r="3" customFormat="false" ht="15" hidden="false" customHeight="false" outlineLevel="0" collapsed="false">
      <c r="A3" s="25" t="s">
        <v>303</v>
      </c>
    </row>
    <row r="4" customFormat="false" ht="15" hidden="false" customHeight="false" outlineLevel="0" collapsed="false">
      <c r="A4" s="1" t="s">
        <v>304</v>
      </c>
      <c r="B4" s="71" t="n">
        <f aca="false">IF(Inputs!$B$21="Manual",Inputs!$B$23,IF(Inputs!$B$21="Projected prices in merger year",INDEX($AB$8:$AB$28,MATCH($B$5,$A$8:$A$28,0))/INDEX($AG$8:$AG$28,MATCH($B$5,$A$8:$A$28,0)),Inputs!$B$9/Inputs!$B$12)*(1+Inputs!$B$22))</f>
        <v>2.33543003051629</v>
      </c>
    </row>
    <row r="5" customFormat="false" ht="15" hidden="false" customHeight="false" outlineLevel="0" collapsed="false">
      <c r="A5" s="1" t="s">
        <v>305</v>
      </c>
      <c r="B5" s="72" t="n">
        <f aca="false">Inputs!$B$20</f>
        <v>2027</v>
      </c>
    </row>
    <row r="7" customFormat="false" ht="60" hidden="false" customHeight="true" outlineLevel="0" collapsed="false">
      <c r="A7" s="17" t="s">
        <v>31</v>
      </c>
      <c r="B7" s="17" t="s">
        <v>306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7" t="s">
        <v>312</v>
      </c>
      <c r="I7" s="17" t="s">
        <v>313</v>
      </c>
      <c r="J7" s="17" t="s">
        <v>314</v>
      </c>
      <c r="K7" s="17" t="s">
        <v>315</v>
      </c>
      <c r="L7" s="17" t="s">
        <v>316</v>
      </c>
      <c r="M7" s="17" t="s">
        <v>317</v>
      </c>
      <c r="N7" s="17" t="s">
        <v>318</v>
      </c>
      <c r="O7" s="17" t="s">
        <v>319</v>
      </c>
      <c r="P7" s="17" t="s">
        <v>320</v>
      </c>
      <c r="Q7" s="17" t="s">
        <v>321</v>
      </c>
      <c r="R7" s="17" t="s">
        <v>322</v>
      </c>
      <c r="S7" s="17" t="s">
        <v>323</v>
      </c>
      <c r="T7" s="17" t="s">
        <v>324</v>
      </c>
      <c r="U7" s="17" t="s">
        <v>325</v>
      </c>
      <c r="V7" s="17" t="s">
        <v>326</v>
      </c>
      <c r="W7" s="17" t="s">
        <v>327</v>
      </c>
      <c r="X7" s="17" t="s">
        <v>328</v>
      </c>
      <c r="Y7" s="17" t="s">
        <v>329</v>
      </c>
      <c r="Z7" s="17" t="s">
        <v>330</v>
      </c>
      <c r="AA7" s="17" t="s">
        <v>331</v>
      </c>
      <c r="AB7" s="17" t="s">
        <v>332</v>
      </c>
      <c r="AC7" s="17" t="s">
        <v>333</v>
      </c>
      <c r="AD7" s="17" t="s">
        <v>334</v>
      </c>
      <c r="AE7" s="17" t="s">
        <v>335</v>
      </c>
      <c r="AF7" s="17" t="s">
        <v>336</v>
      </c>
      <c r="AG7" s="17" t="s">
        <v>337</v>
      </c>
      <c r="AH7" s="17" t="s">
        <v>338</v>
      </c>
      <c r="AI7" s="17" t="s">
        <v>339</v>
      </c>
      <c r="AJ7" s="17" t="s">
        <v>340</v>
      </c>
      <c r="AK7" s="17" t="s">
        <v>341</v>
      </c>
      <c r="AL7" s="17" t="s">
        <v>342</v>
      </c>
      <c r="AM7" s="17" t="s">
        <v>34</v>
      </c>
      <c r="AN7" s="17" t="s">
        <v>35</v>
      </c>
      <c r="AO7" s="17" t="s">
        <v>343</v>
      </c>
      <c r="AP7" s="17" t="s">
        <v>344</v>
      </c>
    </row>
    <row r="8" customFormat="false" ht="15" hidden="false" customHeight="false" outlineLevel="0" collapsed="false">
      <c r="A8" s="73" t="n">
        <v>2026</v>
      </c>
      <c r="B8" s="73" t="n">
        <f aca="false">A8-2026</f>
        <v>0</v>
      </c>
      <c r="C8" s="74" t="n">
        <f aca="false">MIN(1,B8/Inputs!$B$27)</f>
        <v>0</v>
      </c>
      <c r="D8" s="75" t="n">
        <f aca="false">Inputs!$B$30+($B$33-Inputs!$B$30)*((1/(1+EXP(-$B$35*($A8-$B$34))))-(1/(1+EXP(-$B$35*(2026-$B$34)))))/(1-(1/(1+EXP(-$B$35*(2026-$B$34)))))</f>
        <v>1.81</v>
      </c>
      <c r="E8" s="76" t="n">
        <f aca="false">Inputs!$B$31+D8+J8</f>
        <v>10.712</v>
      </c>
      <c r="F8" s="76" t="n">
        <f aca="false">MAX($B$37,Inputs!$B$32*(1+$B$36)^B8)</f>
        <v>41.5</v>
      </c>
      <c r="G8" s="24" t="n">
        <f aca="false">D8*F8</f>
        <v>75.115</v>
      </c>
      <c r="H8" s="75" t="n">
        <f aca="false">Inputs!$B$34+($B$39-Inputs!$B$34)*((1/(1+EXP(-$B$41*($A8-$B$40))))-(1/(1+EXP(-$B$41*(2026-$B$40)))))/(1-(1/(1+EXP(-$B$41*(2026-$B$40)))))</f>
        <v>1.6</v>
      </c>
      <c r="I8" s="24" t="n">
        <f aca="false">H8*$B$42*12/1000</f>
        <v>1.152</v>
      </c>
      <c r="J8" s="77" t="n">
        <f aca="false">Inputs!$B$35+($B$44-Inputs!$B$35)*((1/(1+EXP(-$B$46*($A8-$B$45))))-(1/(1+EXP(-$B$46*(2026-$B$45)))))/(1-(1/(1+EXP(-$B$46*(2026-$B$45)))))</f>
        <v>0.002</v>
      </c>
      <c r="K8" s="77" t="n">
        <f aca="false">J8/2</f>
        <v>0.001</v>
      </c>
      <c r="L8" s="75" t="n">
        <f aca="false">MAX($B$48,Inputs!$B$36*(1-Inputs!$B$37)^B8)</f>
        <v>1.5</v>
      </c>
      <c r="M8" s="24" t="n">
        <f aca="false">K8*$B$47*L8</f>
        <v>0.06</v>
      </c>
      <c r="N8" s="77" t="n">
        <f aca="false">Inputs!$B$39+($B$50-Inputs!$B$39)*((1/(1+EXP(-$B$52*($A8-$B$51))))-(1/(1+EXP(-$B$52*(2026-$B$51)))))/(1-(1/(1+EXP(-$B$52*(2026-$B$51)))))</f>
        <v>0.005</v>
      </c>
      <c r="O8" s="75" t="n">
        <f aca="false">N8</f>
        <v>0.005</v>
      </c>
      <c r="P8" s="76" t="n">
        <f aca="false">MAX($B$53,Inputs!$B$40*(1-Inputs!$B$41)^B8)</f>
        <v>50</v>
      </c>
      <c r="Q8" s="24" t="n">
        <f aca="false">N8*P8</f>
        <v>0.25</v>
      </c>
      <c r="R8" s="22" t="n">
        <f aca="false">Inputs!$B$43+($B$55-Inputs!$B$43)*((1/(1+EXP(-$B$57*($A8-$B$56))))-(1/(1+EXP(-$B$57*(2026-$B$56)))))/(1-(1/(1+EXP(-$B$57*(2026-$B$56)))))</f>
        <v>52</v>
      </c>
      <c r="S8" s="73" t="n">
        <f aca="false">MAX($B$58,Inputs!$B$44*(1-Inputs!$B$45)^B8)</f>
        <v>245</v>
      </c>
      <c r="T8" s="24" t="n">
        <f aca="false">R8*S8/1000</f>
        <v>12.74</v>
      </c>
      <c r="U8" s="24" t="n">
        <f aca="false">Inputs!$B$47</f>
        <v>17.5</v>
      </c>
      <c r="V8" s="78" t="n">
        <f aca="false">G8+I8+M8+Q8+T8+U8</f>
        <v>106.817</v>
      </c>
      <c r="W8" s="24" t="n">
        <f aca="false">G8*(Inputs!$B$33+($B$38-Inputs!$B$33)*C8)+I8*$B$43+M8*(Inputs!$B$38+($B$49-Inputs!$B$38)*C8)+Q8*(Inputs!$B$42+($B$54-Inputs!$B$42)*C8)+T8*(Inputs!$B$46+($B$59-Inputs!$B$46)*C8)+U8*$B$61-V8*Inputs!$B$49</f>
        <v>12.09386</v>
      </c>
      <c r="X8" s="24" t="n">
        <f aca="false">(W8-V8*(Inputs!$B$50+Inputs!$B$51))*(1-Inputs!$B$52)</f>
        <v>1.1156064</v>
      </c>
      <c r="Y8" s="76" t="n">
        <f aca="false">$B$62+($B$63-$B$62)*MIN(1,MAX(0,(A8-2027)/(Inputs!$B$26-2027)))</f>
        <v>22</v>
      </c>
      <c r="Z8" s="77" t="n">
        <f aca="false">Inputs!$B$11*(1+$B$64)^B8</f>
        <v>3.949547394</v>
      </c>
      <c r="AA8" s="22" t="n">
        <f aca="false">MIN(1,B8/Inputs!$B$25)*(W9*Y8+Inputs!$B$28)+(1-MIN(1,B8/Inputs!$B$25))*Inputs!$B$9*Inputs!$B$11</f>
        <v>1481.08027275</v>
      </c>
      <c r="AB8" s="79" t="n">
        <f aca="false">AA8/Z8</f>
        <v>375</v>
      </c>
      <c r="AC8" s="22" t="n">
        <f aca="false">Inputs!$B$53+($B$65-Inputs!$B$53)*((1/(1+EXP(-$B$67*($A8-$B$66))))-(1/(1+EXP(-$B$67*(2026-$B$66)))))/(1-(1/(1+EXP(-$B$67*(2026-$B$66)))))</f>
        <v>32</v>
      </c>
      <c r="AD8" s="22" t="n">
        <f aca="false">AC8*(Inputs!$B$54+($B$68-Inputs!$B$54)*C8)</f>
        <v>11.2</v>
      </c>
      <c r="AE8" s="75" t="n">
        <f aca="false">Inputs!$B$13*(1+$B$69)^B8</f>
        <v>13.57</v>
      </c>
      <c r="AF8" s="22" t="n">
        <f aca="false">MIN(1,B8/Inputs!$B$25)*(AD9*Y8)+(1-MIN(1,B8/Inputs!$B$25))*Inputs!$B$12*Inputs!$B$13</f>
        <v>2178.9349</v>
      </c>
      <c r="AG8" s="19" t="n">
        <f aca="false">AF8/AE8</f>
        <v>160.57</v>
      </c>
      <c r="AH8" s="73" t="n">
        <f aca="false">IF(AND(Inputs!$B$19="Yes",A8&gt;=$B$5),1,0)</f>
        <v>0</v>
      </c>
      <c r="AI8" s="22" t="n">
        <f aca="false">(AA8+AF8)*(1+IF(AH8=1,$B$70*MIN(1,(A8-$B$5+1)/3),0))</f>
        <v>3660.01517275</v>
      </c>
      <c r="AJ8" s="75" t="n">
        <f aca="false">AE8+Z8*$B$4</f>
        <v>22.7938915908949</v>
      </c>
      <c r="AK8" s="58" t="n">
        <f aca="false">IF(AH8=1,Z8*$B$4/AJ8,1)</f>
        <v>1</v>
      </c>
      <c r="AL8" s="79" t="n">
        <f aca="false">IF(AH8=1,$B$4*AI8/AJ8,AB8)</f>
        <v>375</v>
      </c>
      <c r="AM8" s="19" t="n">
        <f aca="false">AL8*Holdings!$D$15</f>
        <v>138180</v>
      </c>
      <c r="AN8" s="80" t="n">
        <f aca="false">AM8/Inputs!$B$14</f>
        <v>104452.339557034</v>
      </c>
      <c r="AO8" s="21" t="n">
        <f aca="false">AN8/(1+Inputs!$B$17)^B8</f>
        <v>104452.339557034</v>
      </c>
      <c r="AP8" s="20" t="n">
        <f aca="false">AL8/Inputs!$B$9</f>
        <v>1</v>
      </c>
    </row>
    <row r="9" customFormat="false" ht="15" hidden="false" customHeight="false" outlineLevel="0" collapsed="false">
      <c r="A9" s="73" t="n">
        <v>2027</v>
      </c>
      <c r="B9" s="73" t="n">
        <f aca="false">A9-2026</f>
        <v>1</v>
      </c>
      <c r="C9" s="74" t="n">
        <f aca="false">MIN(1,B9/Inputs!$B$27)</f>
        <v>0.166666666666667</v>
      </c>
      <c r="D9" s="75" t="n">
        <f aca="false">Inputs!$B$30+($B$33-Inputs!$B$30)*((1/(1+EXP(-$B$35*($A9-$B$34))))-(1/(1+EXP(-$B$35*(2026-$B$34)))))/(1-(1/(1+EXP(-$B$35*(2026-$B$34)))))</f>
        <v>1.83565264848691</v>
      </c>
      <c r="E9" s="76" t="n">
        <f aca="false">E8-J8+D9+J9</f>
        <v>12.5520068701138</v>
      </c>
      <c r="F9" s="76" t="n">
        <f aca="false">MAX($B$37,Inputs!$B$32*(1+$B$36)^B9)</f>
        <v>41.085</v>
      </c>
      <c r="G9" s="24" t="n">
        <f aca="false">D9*F9</f>
        <v>75.4177890630848</v>
      </c>
      <c r="H9" s="75" t="n">
        <f aca="false">Inputs!$B$34+($B$39-Inputs!$B$34)*((1/(1+EXP(-$B$41*($A9-$B$40))))-(1/(1+EXP(-$B$41*(2026-$B$40)))))/(1-(1/(1+EXP(-$B$41*(2026-$B$40)))))</f>
        <v>1.70325214644543</v>
      </c>
      <c r="I9" s="24" t="n">
        <f aca="false">H9*$B$42*12/1000</f>
        <v>1.22634154544071</v>
      </c>
      <c r="J9" s="77" t="n">
        <f aca="false">Inputs!$B$35+($B$44-Inputs!$B$35)*((1/(1+EXP(-$B$46*($A9-$B$45))))-(1/(1+EXP(-$B$46*(2026-$B$45)))))/(1-(1/(1+EXP(-$B$46*(2026-$B$45)))))</f>
        <v>0.00635422162685295</v>
      </c>
      <c r="K9" s="77" t="n">
        <f aca="false">(J9+J8)/2</f>
        <v>0.00417711081342648</v>
      </c>
      <c r="L9" s="75" t="n">
        <f aca="false">MAX($B$48,Inputs!$B$36*(1-Inputs!$B$37)^B9)</f>
        <v>1.425</v>
      </c>
      <c r="M9" s="24" t="n">
        <f aca="false">K9*$B$47*L9</f>
        <v>0.238095316365309</v>
      </c>
      <c r="N9" s="77" t="n">
        <f aca="false">Inputs!$B$39+($B$50-Inputs!$B$39)*((1/(1+EXP(-$B$52*($A9-$B$51))))-(1/(1+EXP(-$B$52*(2026-$B$51)))))/(1-(1/(1+EXP(-$B$52*(2026-$B$51)))))</f>
        <v>0.00652855499683599</v>
      </c>
      <c r="O9" s="75" t="n">
        <f aca="false">O8+N9</f>
        <v>0.011528554996836</v>
      </c>
      <c r="P9" s="76" t="n">
        <f aca="false">MAX($B$53,Inputs!$B$40*(1-Inputs!$B$41)^B9)</f>
        <v>46</v>
      </c>
      <c r="Q9" s="24" t="n">
        <f aca="false">N9*P9</f>
        <v>0.300313529854456</v>
      </c>
      <c r="R9" s="22" t="n">
        <f aca="false">Inputs!$B$43+($B$55-Inputs!$B$43)*((1/(1+EXP(-$B$57*($A9-$B$56))))-(1/(1+EXP(-$B$57*(2026-$B$56)))))/(1-(1/(1+EXP(-$B$57*(2026-$B$56)))))</f>
        <v>55.9024037650201</v>
      </c>
      <c r="S9" s="73" t="n">
        <f aca="false">MAX($B$58,Inputs!$B$44*(1-Inputs!$B$45)^B9)</f>
        <v>235.2</v>
      </c>
      <c r="T9" s="24" t="n">
        <f aca="false">R9*S9/1000</f>
        <v>13.1482453655327</v>
      </c>
      <c r="U9" s="24" t="n">
        <f aca="false">U8*(1+$B$60*Inputs!$B$48^(B9-1))</f>
        <v>18.55</v>
      </c>
      <c r="V9" s="78" t="n">
        <f aca="false">G9+I9+M9+Q9+T9+U9</f>
        <v>108.880784820278</v>
      </c>
      <c r="W9" s="24" t="n">
        <f aca="false">G9*(Inputs!$B$33+($B$38-Inputs!$B$33)*C9)+I9*$B$43+M9*(Inputs!$B$38+($B$49-Inputs!$B$38)*C9)+Q9*(Inputs!$B$42+($B$54-Inputs!$B$42)*C9)+T9*(Inputs!$B$46+($B$59-Inputs!$B$46)*C9)+U9*$B$61-V9*Inputs!$B$49</f>
        <v>12.2323880963578</v>
      </c>
      <c r="X9" s="24" t="n">
        <f aca="false">(W9-V9*(Inputs!$B$50+Inputs!$B$51))*(1-Inputs!$B$52)</f>
        <v>1.06200459532066</v>
      </c>
      <c r="Y9" s="76" t="n">
        <f aca="false">$B$62+($B$63-$B$62)*MIN(1,MAX(0,(A9-2027)/(Inputs!$B$26-2027)))</f>
        <v>22</v>
      </c>
      <c r="Z9" s="77" t="n">
        <f aca="false">Inputs!$B$11*(1+$B$64)^B9</f>
        <v>4.00879060491</v>
      </c>
      <c r="AA9" s="22" t="n">
        <f aca="false">MIN(1,B9/Inputs!$B$25)*(W10*Y9+Inputs!$B$28)+(1-MIN(1,B9/Inputs!$B$25))*Inputs!$B$9*Inputs!$B$11</f>
        <v>1091.44506477265</v>
      </c>
      <c r="AB9" s="79" t="n">
        <f aca="false">AA9/Z9</f>
        <v>272.262927236918</v>
      </c>
      <c r="AC9" s="22" t="n">
        <f aca="false">Inputs!$B$53+($B$65-Inputs!$B$53)*((1/(1+EXP(-$B$67*($A9-$B$66))))-(1/(1+EXP(-$B$67*(2026-$B$66)))))/(1-(1/(1+EXP(-$B$67*(2026-$B$66)))))</f>
        <v>38.2296923755183</v>
      </c>
      <c r="AD9" s="22" t="n">
        <f aca="false">AC9*(Inputs!$B$54+($B$68-Inputs!$B$54)*C9)</f>
        <v>13.0618115616354</v>
      </c>
      <c r="AE9" s="75" t="n">
        <f aca="false">Inputs!$B$13*(1+$B$69)^B9</f>
        <v>13.90925</v>
      </c>
      <c r="AF9" s="22" t="n">
        <f aca="false">MIN(1,B9/Inputs!$B$25)*(AD10*Y9)+(1-MIN(1,B9/Inputs!$B$25))*Inputs!$B$12*Inputs!$B$13</f>
        <v>1566.81919511285</v>
      </c>
      <c r="AG9" s="19" t="n">
        <f aca="false">AF9/AE9</f>
        <v>112.645843241933</v>
      </c>
      <c r="AH9" s="73" t="n">
        <f aca="false">IF(AND(Inputs!$B$19="Yes",A9&gt;=$B$5),1,0)</f>
        <v>1</v>
      </c>
      <c r="AI9" s="22" t="n">
        <f aca="false">(AA9+AF9)*(1+IF(AH9=1,$B$70*MIN(1,(A9-$B$5+1)/3),0))</f>
        <v>2658.26425988551</v>
      </c>
      <c r="AJ9" s="75" t="n">
        <f aca="false">AE9+Z9*$B$4</f>
        <v>23.2714999647584</v>
      </c>
      <c r="AK9" s="58" t="n">
        <f aca="false">IF(AH9=1,Z9*$B$4/AJ9,1)</f>
        <v>0.402305394105935</v>
      </c>
      <c r="AL9" s="79" t="n">
        <f aca="false">IF(AH9=1,$B$4*AI9/AJ9,AB9)</f>
        <v>266.772240336302</v>
      </c>
      <c r="AM9" s="19" t="n">
        <f aca="false">AL9*Holdings!$D$15</f>
        <v>98300.2351191205</v>
      </c>
      <c r="AN9" s="80" t="n">
        <f aca="false">AM9/Inputs!$B$14</f>
        <v>74306.6256853281</v>
      </c>
      <c r="AO9" s="21" t="n">
        <f aca="false">AN9/(1+Inputs!$B$17)^B9</f>
        <v>72494.2689612957</v>
      </c>
      <c r="AP9" s="20" t="n">
        <f aca="false">AL9/Inputs!$B$9</f>
        <v>0.711392640896805</v>
      </c>
    </row>
    <row r="10" customFormat="false" ht="15" hidden="false" customHeight="false" outlineLevel="0" collapsed="false">
      <c r="A10" s="73" t="n">
        <v>2028</v>
      </c>
      <c r="B10" s="73" t="n">
        <f aca="false">A10-2026</f>
        <v>2</v>
      </c>
      <c r="C10" s="74" t="n">
        <f aca="false">MIN(1,B10/Inputs!$B$27)</f>
        <v>0.333333333333333</v>
      </c>
      <c r="D10" s="75" t="n">
        <f aca="false">Inputs!$B$30+($B$33-Inputs!$B$30)*((1/(1+EXP(-$B$35*($A10-$B$34))))-(1/(1+EXP(-$B$35*(2026-$B$34)))))/(1-(1/(1+EXP(-$B$35*(2026-$B$34)))))</f>
        <v>1.86857562735248</v>
      </c>
      <c r="E10" s="76" t="n">
        <f aca="false">E9-J9+D10+J10</f>
        <v>14.4266966192413</v>
      </c>
      <c r="F10" s="76" t="n">
        <f aca="false">MAX($B$37,Inputs!$B$32*(1+$B$36)^B10)</f>
        <v>40.67415</v>
      </c>
      <c r="G10" s="24" t="n">
        <f aca="false">D10*F10</f>
        <v>76.002725353279</v>
      </c>
      <c r="H10" s="75" t="n">
        <f aca="false">Inputs!$B$34+($B$39-Inputs!$B$34)*((1/(1+EXP(-$B$41*($A10-$B$40))))-(1/(1+EXP(-$B$41*(2026-$B$40)))))/(1-(1/(1+EXP(-$B$41*(2026-$B$40)))))</f>
        <v>1.83866790210781</v>
      </c>
      <c r="I10" s="24" t="n">
        <f aca="false">H10*$B$42*12/1000</f>
        <v>1.32384088951762</v>
      </c>
      <c r="J10" s="77" t="n">
        <f aca="false">Inputs!$B$35+($B$44-Inputs!$B$35)*((1/(1+EXP(-$B$46*($A10-$B$45))))-(1/(1+EXP(-$B$46*(2026-$B$45)))))/(1-(1/(1+EXP(-$B$46*(2026-$B$45)))))</f>
        <v>0.0124683434018771</v>
      </c>
      <c r="K10" s="77" t="n">
        <f aca="false">(J10+J9)/2</f>
        <v>0.00941128251436503</v>
      </c>
      <c r="L10" s="75" t="n">
        <f aca="false">MAX($B$48,Inputs!$B$36*(1-Inputs!$B$37)^B10)</f>
        <v>1.35375</v>
      </c>
      <c r="M10" s="24" t="n">
        <f aca="false">K10*$B$47*L10</f>
        <v>0.509620948152866</v>
      </c>
      <c r="N10" s="77" t="n">
        <f aca="false">Inputs!$B$39+($B$50-Inputs!$B$39)*((1/(1+EXP(-$B$52*($A10-$B$51))))-(1/(1+EXP(-$B$52*(2026-$B$51)))))/(1-(1/(1+EXP(-$B$52*(2026-$B$51)))))</f>
        <v>0.00868154501493935</v>
      </c>
      <c r="O10" s="75" t="n">
        <f aca="false">O9+N10</f>
        <v>0.0202101000117753</v>
      </c>
      <c r="P10" s="76" t="n">
        <f aca="false">MAX($B$53,Inputs!$B$40*(1-Inputs!$B$41)^B10)</f>
        <v>42.32</v>
      </c>
      <c r="Q10" s="24" t="n">
        <f aca="false">N10*P10</f>
        <v>0.367402985032233</v>
      </c>
      <c r="R10" s="22" t="n">
        <f aca="false">Inputs!$B$43+($B$55-Inputs!$B$43)*((1/(1+EXP(-$B$57*($A10-$B$56))))-(1/(1+EXP(-$B$57*(2026-$B$56)))))/(1-(1/(1+EXP(-$B$57*(2026-$B$56)))))</f>
        <v>60.6213009344565</v>
      </c>
      <c r="S10" s="73" t="n">
        <f aca="false">MAX($B$58,Inputs!$B$44*(1-Inputs!$B$45)^B10)</f>
        <v>225.792</v>
      </c>
      <c r="T10" s="24" t="n">
        <f aca="false">R10*S10/1000</f>
        <v>13.6878047805928</v>
      </c>
      <c r="U10" s="24" t="n">
        <f aca="false">U9*(1+$B$60*Inputs!$B$48^(B10-1))</f>
        <v>19.58509</v>
      </c>
      <c r="V10" s="78" t="n">
        <f aca="false">G10+I10+M10+Q10+T10+U10</f>
        <v>111.476484956575</v>
      </c>
      <c r="W10" s="24" t="n">
        <f aca="false">G10*(Inputs!$B$33+($B$38-Inputs!$B$33)*C10)+I10*$B$43+M10*(Inputs!$B$38+($B$49-Inputs!$B$38)*C10)+Q10*(Inputs!$B$42+($B$54-Inputs!$B$42)*C10)+T10*(Inputs!$B$46+($B$59-Inputs!$B$46)*C10)+U10*$B$61-V10*Inputs!$B$49</f>
        <v>12.4761204008161</v>
      </c>
      <c r="X10" s="24" t="n">
        <f aca="false">(W10-V10*(Inputs!$B$50+Inputs!$B$51))*(1-Inputs!$B$52)</f>
        <v>1.04949280507533</v>
      </c>
      <c r="Y10" s="76" t="n">
        <f aca="false">$B$62+($B$63-$B$62)*MIN(1,MAX(0,(A10-2027)/(Inputs!$B$26-2027)))</f>
        <v>21.0909090909091</v>
      </c>
      <c r="Z10" s="77" t="n">
        <f aca="false">Inputs!$B$11*(1+$B$64)^B10</f>
        <v>4.06892246398365</v>
      </c>
      <c r="AA10" s="22" t="n">
        <f aca="false">MIN(1,B10/Inputs!$B$25)*(W11*Y10+Inputs!$B$28)+(1-MIN(1,B10/Inputs!$B$25))*Inputs!$B$9*Inputs!$B$11</f>
        <v>699.428634253965</v>
      </c>
      <c r="AB10" s="79" t="n">
        <f aca="false">AA10/Z10</f>
        <v>171.895296714304</v>
      </c>
      <c r="AC10" s="22" t="n">
        <f aca="false">Inputs!$B$53+($B$65-Inputs!$B$53)*((1/(1+EXP(-$B$67*($A10-$B$66))))-(1/(1+EXP(-$B$67*(2026-$B$66)))))/(1-(1/(1+EXP(-$B$67*(2026-$B$66)))))</f>
        <v>46.716516182531</v>
      </c>
      <c r="AD10" s="22" t="n">
        <f aca="false">AC10*(Inputs!$B$54+($B$68-Inputs!$B$54)*C10)</f>
        <v>15.5721720608437</v>
      </c>
      <c r="AE10" s="75" t="n">
        <f aca="false">Inputs!$B$13*(1+$B$69)^B10</f>
        <v>14.25698125</v>
      </c>
      <c r="AF10" s="22" t="n">
        <f aca="false">MIN(1,B10/Inputs!$B$25)*(AD11*Y10)+(1-MIN(1,B10/Inputs!$B$25))*Inputs!$B$12*Inputs!$B$13</f>
        <v>991.803984710087</v>
      </c>
      <c r="AG10" s="19" t="n">
        <f aca="false">AF10/AE10</f>
        <v>69.5661982939121</v>
      </c>
      <c r="AH10" s="73" t="n">
        <f aca="false">IF(AND(Inputs!$B$19="Yes",A10&gt;=$B$5),1,0)</f>
        <v>1</v>
      </c>
      <c r="AI10" s="22" t="n">
        <f aca="false">(AA10+AF10)*(1+IF(AH10=1,$B$70*MIN(1,(A10-$B$5+1)/3),0))</f>
        <v>1691.23261896405</v>
      </c>
      <c r="AJ10" s="75" t="n">
        <f aca="false">AE10+Z10*$B$4</f>
        <v>23.7596649642297</v>
      </c>
      <c r="AK10" s="58" t="n">
        <f aca="false">IF(AH10=1,Z10*$B$4/AJ10,1)</f>
        <v>0.399950240398426</v>
      </c>
      <c r="AL10" s="79" t="n">
        <f aca="false">IF(AH10=1,$B$4*AI10/AJ10,AB10)</f>
        <v>166.237842699538</v>
      </c>
      <c r="AM10" s="19" t="n">
        <f aca="false">AL10*Holdings!$D$15</f>
        <v>61255.3202779259</v>
      </c>
      <c r="AN10" s="80" t="n">
        <f aca="false">AM10/Inputs!$B$14</f>
        <v>46303.8175810159</v>
      </c>
      <c r="AO10" s="21" t="n">
        <f aca="false">AN10/(1+Inputs!$B$17)^B10</f>
        <v>44072.6401722935</v>
      </c>
      <c r="AP10" s="20" t="n">
        <f aca="false">AL10/Inputs!$B$9</f>
        <v>0.443300913865435</v>
      </c>
    </row>
    <row r="11" customFormat="false" ht="15" hidden="false" customHeight="false" outlineLevel="0" collapsed="false">
      <c r="A11" s="73" t="n">
        <v>2029</v>
      </c>
      <c r="B11" s="73" t="n">
        <f aca="false">A11-2026</f>
        <v>3</v>
      </c>
      <c r="C11" s="74" t="n">
        <f aca="false">MIN(1,B11/Inputs!$B$27)</f>
        <v>0.5</v>
      </c>
      <c r="D11" s="75" t="n">
        <f aca="false">Inputs!$B$30+($B$33-Inputs!$B$30)*((1/(1+EXP(-$B$35*($A11-$B$34))))-(1/(1+EXP(-$B$35*(2026-$B$34)))))/(1-(1/(1+EXP(-$B$35*(2026-$B$34)))))</f>
        <v>1.91017268359497</v>
      </c>
      <c r="E11" s="76" t="n">
        <f aca="false">E10-J10+D11+J11</f>
        <v>16.3454176245858</v>
      </c>
      <c r="F11" s="76" t="n">
        <f aca="false">MAX($B$37,Inputs!$B$32*(1+$B$36)^B11)</f>
        <v>40.2674085</v>
      </c>
      <c r="G11" s="24" t="n">
        <f aca="false">D11*F11</f>
        <v>76.9177037558597</v>
      </c>
      <c r="H11" s="75" t="n">
        <f aca="false">Inputs!$B$34+($B$39-Inputs!$B$34)*((1/(1+EXP(-$B$41*($A11-$B$40))))-(1/(1+EXP(-$B$41*(2026-$B$40)))))/(1-(1/(1+EXP(-$B$41*(2026-$B$40)))))</f>
        <v>2.01460049327771</v>
      </c>
      <c r="I11" s="24" t="n">
        <f aca="false">H11*$B$42*12/1000</f>
        <v>1.45051235515995</v>
      </c>
      <c r="J11" s="77" t="n">
        <f aca="false">Inputs!$B$35+($B$44-Inputs!$B$35)*((1/(1+EXP(-$B$46*($A11-$B$45))))-(1/(1+EXP(-$B$46*(2026-$B$45)))))/(1-(1/(1+EXP(-$B$46*(2026-$B$45)))))</f>
        <v>0.0210166651513983</v>
      </c>
      <c r="K11" s="77" t="n">
        <f aca="false">(J11+J10)/2</f>
        <v>0.0167425042766377</v>
      </c>
      <c r="L11" s="75" t="n">
        <f aca="false">MAX($B$48,Inputs!$B$36*(1-Inputs!$B$37)^B11)</f>
        <v>1.2860625</v>
      </c>
      <c r="M11" s="24" t="n">
        <f aca="false">K11*$B$47*L11</f>
        <v>0.861276276250935</v>
      </c>
      <c r="N11" s="77" t="n">
        <f aca="false">Inputs!$B$39+($B$50-Inputs!$B$39)*((1/(1+EXP(-$B$52*($A11-$B$51))))-(1/(1+EXP(-$B$52*(2026-$B$51)))))/(1-(1/(1+EXP(-$B$52*(2026-$B$51)))))</f>
        <v>0.0117047359039639</v>
      </c>
      <c r="O11" s="75" t="n">
        <f aca="false">O10+N11</f>
        <v>0.0319148359157392</v>
      </c>
      <c r="P11" s="76" t="n">
        <f aca="false">MAX($B$53,Inputs!$B$40*(1-Inputs!$B$41)^B11)</f>
        <v>38.9344</v>
      </c>
      <c r="Q11" s="24" t="n">
        <f aca="false">N11*P11</f>
        <v>0.455716869579291</v>
      </c>
      <c r="R11" s="22" t="n">
        <f aca="false">Inputs!$B$43+($B$55-Inputs!$B$43)*((1/(1+EXP(-$B$57*($A11-$B$56))))-(1/(1+EXP(-$B$57*(2026-$B$56)))))/(1-(1/(1+EXP(-$B$57*(2026-$B$56)))))</f>
        <v>66.2455635831081</v>
      </c>
      <c r="S11" s="73" t="n">
        <f aca="false">MAX($B$58,Inputs!$B$44*(1-Inputs!$B$45)^B11)</f>
        <v>216.76032</v>
      </c>
      <c r="T11" s="24" t="n">
        <f aca="false">R11*S11/1000</f>
        <v>14.3594095608549</v>
      </c>
      <c r="U11" s="24" t="n">
        <f aca="false">U10*(1+$B$60*Inputs!$B$48^(B11-1))</f>
        <v>20.60143866046</v>
      </c>
      <c r="V11" s="78" t="n">
        <f aca="false">G11+I11+M11+Q11+T11+U11</f>
        <v>114.646057478165</v>
      </c>
      <c r="W11" s="24" t="n">
        <f aca="false">G11*(Inputs!$B$33+($B$38-Inputs!$B$33)*C11)+I11*$B$43+M11*(Inputs!$B$38+($B$49-Inputs!$B$38)*C11)+Q11*(Inputs!$B$42+($B$54-Inputs!$B$42)*C11)+T11*(Inputs!$B$46+($B$59-Inputs!$B$46)*C11)+U11*$B$61-V11*Inputs!$B$49</f>
        <v>12.8445300218337</v>
      </c>
      <c r="X11" s="24" t="n">
        <f aca="false">(W11-V11*(Inputs!$B$50+Inputs!$B$51))*(1-Inputs!$B$52)</f>
        <v>1.09014017647363</v>
      </c>
      <c r="Y11" s="76" t="n">
        <f aca="false">$B$62+($B$63-$B$62)*MIN(1,MAX(0,(A11-2027)/(Inputs!$B$26-2027)))</f>
        <v>20.1818181818182</v>
      </c>
      <c r="Z11" s="77" t="n">
        <f aca="false">Inputs!$B$11*(1+$B$64)^B11</f>
        <v>4.1299563009434</v>
      </c>
      <c r="AA11" s="22" t="n">
        <f aca="false">MIN(1,B11/Inputs!$B$25)*(W12*Y11+Inputs!$B$28)+(1-MIN(1,B11/Inputs!$B$25))*Inputs!$B$9*Inputs!$B$11</f>
        <v>307.50338471116</v>
      </c>
      <c r="AB11" s="79" t="n">
        <f aca="false">AA11/Z11</f>
        <v>74.4568131727974</v>
      </c>
      <c r="AC11" s="22" t="n">
        <f aca="false">Inputs!$B$53+($B$65-Inputs!$B$53)*((1/(1+EXP(-$B$67*($A11-$B$66))))-(1/(1+EXP(-$B$67*(2026-$B$66)))))/(1-(1/(1+EXP(-$B$67*(2026-$B$66)))))</f>
        <v>58.0984588556556</v>
      </c>
      <c r="AD11" s="22" t="n">
        <f aca="false">AC11*(Inputs!$B$54+($B$68-Inputs!$B$54)*C11)</f>
        <v>18.8819991280881</v>
      </c>
      <c r="AE11" s="75" t="n">
        <f aca="false">Inputs!$B$13*(1+$B$69)^B11</f>
        <v>14.61340578125</v>
      </c>
      <c r="AF11" s="22" t="n">
        <f aca="false">MIN(1,B11/Inputs!$B$25)*(AD12*Y11)+(1-MIN(1,B11/Inputs!$B$25))*Inputs!$B$12*Inputs!$B$13</f>
        <v>466.833085362156</v>
      </c>
      <c r="AG11" s="19" t="n">
        <f aca="false">AF11/AE11</f>
        <v>31.9455363349408</v>
      </c>
      <c r="AH11" s="73" t="n">
        <f aca="false">IF(AND(Inputs!$B$19="Yes",A11&gt;=$B$5),1,0)</f>
        <v>1</v>
      </c>
      <c r="AI11" s="22" t="n">
        <f aca="false">(AA11+AF11)*(1+IF(AH11=1,$B$70*MIN(1,(A11-$B$5+1)/3),0))</f>
        <v>774.336470073317</v>
      </c>
      <c r="AJ11" s="75" t="n">
        <f aca="false">AE11+Z11*$B$4</f>
        <v>24.2586297511932</v>
      </c>
      <c r="AK11" s="58" t="n">
        <f aca="false">IF(AH11=1,Z11*$B$4/AJ11,1)</f>
        <v>0.397599702409769</v>
      </c>
      <c r="AL11" s="79" t="n">
        <f aca="false">IF(AH11=1,$B$4*AI11/AJ11,AB11)</f>
        <v>74.547023656365</v>
      </c>
      <c r="AM11" s="19" t="n">
        <f aca="false">AL11*Holdings!$D$15</f>
        <v>27469.0872768974</v>
      </c>
      <c r="AN11" s="80" t="n">
        <f aca="false">AM11/Inputs!$B$14</f>
        <v>20764.2960744557</v>
      </c>
      <c r="AO11" s="21" t="n">
        <f aca="false">AN11/(1+Inputs!$B$17)^B11</f>
        <v>19281.7131029028</v>
      </c>
      <c r="AP11" s="20" t="n">
        <f aca="false">AL11/Inputs!$B$9</f>
        <v>0.19879206308364</v>
      </c>
    </row>
    <row r="12" customFormat="false" ht="15" hidden="false" customHeight="false" outlineLevel="0" collapsed="false">
      <c r="A12" s="73" t="n">
        <v>2030</v>
      </c>
      <c r="B12" s="73" t="n">
        <f aca="false">A12-2026</f>
        <v>4</v>
      </c>
      <c r="C12" s="74" t="n">
        <f aca="false">MIN(1,B12/Inputs!$B$27)</f>
        <v>0.666666666666667</v>
      </c>
      <c r="D12" s="75" t="n">
        <f aca="false">Inputs!$B$30+($B$33-Inputs!$B$30)*((1/(1+EXP(-$B$35*($A12-$B$34))))-(1/(1+EXP(-$B$35*(2026-$B$34)))))/(1-(1/(1+EXP(-$B$35*(2026-$B$34)))))</f>
        <v>1.96170121419769</v>
      </c>
      <c r="E12" s="76" t="n">
        <f aca="false">E11-J11+D12+J12</f>
        <v>18.3189985507963</v>
      </c>
      <c r="F12" s="76" t="n">
        <f aca="false">MAX($B$37,Inputs!$B$32*(1+$B$36)^B12)</f>
        <v>39.864734415</v>
      </c>
      <c r="G12" s="24" t="n">
        <f aca="false">D12*F12</f>
        <v>78.2026979055739</v>
      </c>
      <c r="H12" s="75" t="n">
        <f aca="false">Inputs!$B$34+($B$39-Inputs!$B$34)*((1/(1+EXP(-$B$41*($A12-$B$40))))-(1/(1+EXP(-$B$41*(2026-$B$40)))))/(1-(1/(1+EXP(-$B$41*(2026-$B$40)))))</f>
        <v>2.24039491695318</v>
      </c>
      <c r="I12" s="24" t="n">
        <f aca="false">H12*$B$42*12/1000</f>
        <v>1.61308434020629</v>
      </c>
      <c r="J12" s="77" t="n">
        <f aca="false">Inputs!$B$35+($B$44-Inputs!$B$35)*((1/(1+EXP(-$B$46*($A12-$B$45))))-(1/(1+EXP(-$B$46*(2026-$B$45)))))/(1-(1/(1+EXP(-$B$46*(2026-$B$45)))))</f>
        <v>0.0328963771642469</v>
      </c>
      <c r="K12" s="77" t="n">
        <f aca="false">(J12+J11)/2</f>
        <v>0.0269565211578226</v>
      </c>
      <c r="L12" s="75" t="n">
        <f aca="false">MAX($B$48,Inputs!$B$36*(1-Inputs!$B$37)^B12)</f>
        <v>1.221759375</v>
      </c>
      <c r="M12" s="24" t="n">
        <f aca="false">K12*$B$47*L12</f>
        <v>1.31737529767823</v>
      </c>
      <c r="N12" s="77" t="n">
        <f aca="false">Inputs!$B$39+($B$50-Inputs!$B$39)*((1/(1+EXP(-$B$52*($A12-$B$51))))-(1/(1+EXP(-$B$52*(2026-$B$51)))))/(1-(1/(1+EXP(-$B$52*(2026-$B$51)))))</f>
        <v>0.0159315422026494</v>
      </c>
      <c r="O12" s="75" t="n">
        <f aca="false">O11+N12</f>
        <v>0.0478463781183887</v>
      </c>
      <c r="P12" s="76" t="n">
        <f aca="false">MAX($B$53,Inputs!$B$40*(1-Inputs!$B$41)^B12)</f>
        <v>35.819648</v>
      </c>
      <c r="Q12" s="24" t="n">
        <f aca="false">N12*P12</f>
        <v>0.570662233796048</v>
      </c>
      <c r="R12" s="22" t="n">
        <f aca="false">Inputs!$B$43+($B$55-Inputs!$B$43)*((1/(1+EXP(-$B$57*($A12-$B$56))))-(1/(1+EXP(-$B$57*(2026-$B$56)))))/(1-(1/(1+EXP(-$B$57*(2026-$B$56)))))</f>
        <v>72.8344537584068</v>
      </c>
      <c r="S12" s="73" t="n">
        <f aca="false">MAX($B$58,Inputs!$B$44*(1-Inputs!$B$45)^B12)</f>
        <v>208.0899072</v>
      </c>
      <c r="T12" s="24" t="n">
        <f aca="false">R12*S12/1000</f>
        <v>15.1561147235496</v>
      </c>
      <c r="U12" s="24" t="n">
        <f aca="false">U11*(1+$B$60*Inputs!$B$48^(B12-1))</f>
        <v>21.5956933442567</v>
      </c>
      <c r="V12" s="78" t="n">
        <f aca="false">G12+I12+M12+Q12+T12+U12</f>
        <v>118.455627845061</v>
      </c>
      <c r="W12" s="24" t="n">
        <f aca="false">G12*(Inputs!$B$33+($B$38-Inputs!$B$33)*C12)+I12*$B$43+M12*(Inputs!$B$38+($B$49-Inputs!$B$38)*C12)+Q12*(Inputs!$B$42+($B$54-Inputs!$B$42)*C12)+T12*(Inputs!$B$46+($B$59-Inputs!$B$46)*C12)+U12*$B$61-V12*Inputs!$B$49</f>
        <v>13.3686361793818</v>
      </c>
      <c r="X12" s="24" t="n">
        <f aca="false">(W12-V12*(Inputs!$B$50+Inputs!$B$51))*(1-Inputs!$B$52)</f>
        <v>1.20322798195184</v>
      </c>
      <c r="Y12" s="76" t="n">
        <f aca="false">$B$62+($B$63-$B$62)*MIN(1,MAX(0,(A12-2027)/(Inputs!$B$26-2027)))</f>
        <v>19.2727272727273</v>
      </c>
      <c r="Z12" s="77" t="n">
        <f aca="false">Inputs!$B$11*(1+$B$64)^B12</f>
        <v>4.19190564545755</v>
      </c>
      <c r="AA12" s="22" t="n">
        <f aca="false">MIN(1,B12/Inputs!$B$25)*(W13*Y12+Inputs!$B$28)+(1-MIN(1,B12/Inputs!$B$25))*Inputs!$B$9*Inputs!$B$11</f>
        <v>309.165330961277</v>
      </c>
      <c r="AB12" s="79" t="n">
        <f aca="false">AA12/Z12</f>
        <v>73.7529317474728</v>
      </c>
      <c r="AC12" s="22" t="n">
        <f aca="false">Inputs!$B$53+($B$65-Inputs!$B$53)*((1/(1+EXP(-$B$67*($A12-$B$66))))-(1/(1+EXP(-$B$67*(2026-$B$66)))))/(1-(1/(1+EXP(-$B$67*(2026-$B$66)))))</f>
        <v>73.0464287195408</v>
      </c>
      <c r="AD12" s="22" t="n">
        <f aca="false">AC12*(Inputs!$B$54+($B$68-Inputs!$B$54)*C12)</f>
        <v>23.1313690945213</v>
      </c>
      <c r="AE12" s="75" t="n">
        <f aca="false">Inputs!$B$13*(1+$B$69)^B12</f>
        <v>14.9787409257812</v>
      </c>
      <c r="AF12" s="22" t="n">
        <f aca="false">MIN(1,B12/Inputs!$B$25)*(AD13*Y12)+(1-MIN(1,B12/Inputs!$B$25))*Inputs!$B$12*Inputs!$B$13</f>
        <v>547.571954451603</v>
      </c>
      <c r="AG12" s="19" t="n">
        <f aca="false">AF12/AE12</f>
        <v>36.5566076057253</v>
      </c>
      <c r="AH12" s="73" t="n">
        <f aca="false">IF(AND(Inputs!$B$19="Yes",A12&gt;=$B$5),1,0)</f>
        <v>1</v>
      </c>
      <c r="AI12" s="22" t="n">
        <f aca="false">(AA12+AF12)*(1+IF(AH12=1,$B$70*MIN(1,(A12-$B$5+1)/3),0))</f>
        <v>856.73728541288</v>
      </c>
      <c r="AJ12" s="75" t="n">
        <f aca="false">AE12+Z12*$B$4</f>
        <v>24.7686432552736</v>
      </c>
      <c r="AK12" s="58" t="n">
        <f aca="false">IF(AH12=1,Z12*$B$4/AJ12,1)</f>
        <v>0.395253879213103</v>
      </c>
      <c r="AL12" s="79" t="n">
        <f aca="false">IF(AH12=1,$B$4*AI12/AJ12,AB12)</f>
        <v>80.7815738631641</v>
      </c>
      <c r="AM12" s="19" t="n">
        <f aca="false">AL12*Holdings!$D$15</f>
        <v>29766.3943370987</v>
      </c>
      <c r="AN12" s="80" t="n">
        <f aca="false">AM12/Inputs!$B$14</f>
        <v>22500.8650216182</v>
      </c>
      <c r="AO12" s="21" t="n">
        <f aca="false">AN12/(1+Inputs!$B$17)^B12</f>
        <v>20384.6731748873</v>
      </c>
      <c r="AP12" s="20" t="n">
        <f aca="false">AL12/Inputs!$B$9</f>
        <v>0.215417530301771</v>
      </c>
    </row>
    <row r="13" customFormat="false" ht="15" hidden="false" customHeight="false" outlineLevel="0" collapsed="false">
      <c r="A13" s="73" t="n">
        <v>2031</v>
      </c>
      <c r="B13" s="73" t="n">
        <f aca="false">A13-2026</f>
        <v>5</v>
      </c>
      <c r="C13" s="74" t="n">
        <f aca="false">MIN(1,B13/Inputs!$B$27)</f>
        <v>0.833333333333333</v>
      </c>
      <c r="D13" s="75" t="n">
        <f aca="false">Inputs!$B$30+($B$33-Inputs!$B$30)*((1/(1+EXP(-$B$35*($A13-$B$34))))-(1/(1+EXP(-$B$35*(2026-$B$34)))))/(1-(1/(1+EXP(-$B$35*(2026-$B$34)))))</f>
        <v>2.02399307610354</v>
      </c>
      <c r="E13" s="76" t="n">
        <f aca="false">E12-J12+D13+J13</f>
        <v>20.3593632520779</v>
      </c>
      <c r="F13" s="76" t="n">
        <f aca="false">MAX($B$37,Inputs!$B$32*(1+$B$36)^B13)</f>
        <v>39.46608707085</v>
      </c>
      <c r="G13" s="24" t="n">
        <f aca="false">D13*F13</f>
        <v>79.8790869723</v>
      </c>
      <c r="H13" s="75" t="n">
        <f aca="false">Inputs!$B$34+($B$39-Inputs!$B$34)*((1/(1+EXP(-$B$41*($A13-$B$40))))-(1/(1+EXP(-$B$41*(2026-$B$40)))))/(1-(1/(1+EXP(-$B$41*(2026-$B$40)))))</f>
        <v>2.52567843820494</v>
      </c>
      <c r="I13" s="24" t="n">
        <f aca="false">H13*$B$42*12/1000</f>
        <v>1.81848847550756</v>
      </c>
      <c r="J13" s="77" t="n">
        <f aca="false">Inputs!$B$35+($B$44-Inputs!$B$35)*((1/(1+EXP(-$B$46*($A13-$B$45))))-(1/(1+EXP(-$B$46*(2026-$B$45)))))/(1-(1/(1+EXP(-$B$46*(2026-$B$45)))))</f>
        <v>0.0492680023422796</v>
      </c>
      <c r="K13" s="77" t="n">
        <f aca="false">(J13+J12)/2</f>
        <v>0.0410821897532633</v>
      </c>
      <c r="L13" s="75" t="n">
        <f aca="false">MAX($B$48,Inputs!$B$36*(1-Inputs!$B$37)^B13)</f>
        <v>1.16067140625</v>
      </c>
      <c r="M13" s="24" t="n">
        <f aca="false">K13*$B$47*L13</f>
        <v>1.90731691810998</v>
      </c>
      <c r="N13" s="77" t="n">
        <f aca="false">Inputs!$B$39+($B$50-Inputs!$B$39)*((1/(1+EXP(-$B$52*($A13-$B$51))))-(1/(1+EXP(-$B$52*(2026-$B$51)))))/(1-(1/(1+EXP(-$B$52*(2026-$B$51)))))</f>
        <v>0.0218055889493447</v>
      </c>
      <c r="O13" s="75" t="n">
        <f aca="false">O12+N13</f>
        <v>0.0696519670677334</v>
      </c>
      <c r="P13" s="76" t="n">
        <f aca="false">MAX($B$53,Inputs!$B$40*(1-Inputs!$B$41)^B13)</f>
        <v>32.95407616</v>
      </c>
      <c r="Q13" s="24" t="n">
        <f aca="false">N13*P13</f>
        <v>0.71858303895036</v>
      </c>
      <c r="R13" s="22" t="n">
        <f aca="false">Inputs!$B$43+($B$55-Inputs!$B$43)*((1/(1+EXP(-$B$57*($A13-$B$56))))-(1/(1+EXP(-$B$57*(2026-$B$56)))))/(1-(1/(1+EXP(-$B$57*(2026-$B$56)))))</f>
        <v>80.3994852828179</v>
      </c>
      <c r="S13" s="73" t="n">
        <f aca="false">MAX($B$58,Inputs!$B$44*(1-Inputs!$B$45)^B13)</f>
        <v>199.766310912</v>
      </c>
      <c r="T13" s="24" t="n">
        <f aca="false">R13*S13/1000</f>
        <v>16.0611085741722</v>
      </c>
      <c r="U13" s="24" t="n">
        <f aca="false">U12*(1+$B$60*Inputs!$B$48^(B13-1))</f>
        <v>22.5649754530676</v>
      </c>
      <c r="V13" s="78" t="n">
        <f aca="false">G13+I13+M13+Q13+T13+U13</f>
        <v>122.949559432108</v>
      </c>
      <c r="W13" s="24" t="n">
        <f aca="false">G13*(Inputs!$B$33+($B$38-Inputs!$B$33)*C13)+I13*$B$43+M13*(Inputs!$B$38+($B$49-Inputs!$B$38)*C13)+Q13*(Inputs!$B$42+($B$54-Inputs!$B$42)*C13)+T13*(Inputs!$B$46+($B$59-Inputs!$B$46)*C13)+U13*$B$61-V13*Inputs!$B$49</f>
        <v>14.0854652857266</v>
      </c>
      <c r="X13" s="24" t="n">
        <f aca="false">(W13-V13*(Inputs!$B$50+Inputs!$B$51))*(1-Inputs!$B$52)</f>
        <v>1.41450238058754</v>
      </c>
      <c r="Y13" s="76" t="n">
        <f aca="false">$B$62+($B$63-$B$62)*MIN(1,MAX(0,(A13-2027)/(Inputs!$B$26-2027)))</f>
        <v>18.3636363636364</v>
      </c>
      <c r="Z13" s="77" t="n">
        <f aca="false">Inputs!$B$11*(1+$B$64)^B13</f>
        <v>4.25478423013942</v>
      </c>
      <c r="AA13" s="22" t="n">
        <f aca="false">MIN(1,B13/Inputs!$B$25)*(W14*Y13+Inputs!$B$28)+(1-MIN(1,B13/Inputs!$B$25))*Inputs!$B$9*Inputs!$B$11</f>
        <v>313.849752318149</v>
      </c>
      <c r="AB13" s="79" t="n">
        <f aca="false">AA13/Z13</f>
        <v>73.7639643615641</v>
      </c>
      <c r="AC13" s="22" t="n">
        <f aca="false">Inputs!$B$53+($B$65-Inputs!$B$53)*((1/(1+EXP(-$B$67*($A13-$B$66))))-(1/(1+EXP(-$B$67*(2026-$B$66)))))/(1-(1/(1+EXP(-$B$67*(2026-$B$66)))))</f>
        <v>92.1462238495814</v>
      </c>
      <c r="AD13" s="22" t="n">
        <f aca="false">AC13*(Inputs!$B$54+($B$68-Inputs!$B$54)*C13)</f>
        <v>28.4117523536209</v>
      </c>
      <c r="AE13" s="75" t="n">
        <f aca="false">Inputs!$B$13*(1+$B$69)^B13</f>
        <v>15.3532094489258</v>
      </c>
      <c r="AF13" s="22" t="n">
        <f aca="false">MIN(1,B13/Inputs!$B$25)*(AD14*Y13)+(1-MIN(1,B13/Inputs!$B$25))*Inputs!$B$12*Inputs!$B$13</f>
        <v>637.474130926723</v>
      </c>
      <c r="AG13" s="19" t="n">
        <f aca="false">AF13/AE13</f>
        <v>41.5205780294573</v>
      </c>
      <c r="AH13" s="73" t="n">
        <f aca="false">IF(AND(Inputs!$B$19="Yes",A13&gt;=$B$5),1,0)</f>
        <v>1</v>
      </c>
      <c r="AI13" s="22" t="n">
        <f aca="false">(AA13+AF13)*(1+IF(AH13=1,$B$70*MIN(1,(A13-$B$5+1)/3),0))</f>
        <v>951.323883244872</v>
      </c>
      <c r="AJ13" s="75" t="n">
        <f aca="false">AE13+Z13*$B$4</f>
        <v>25.2899603133605</v>
      </c>
      <c r="AK13" s="58" t="n">
        <f aca="false">IF(AH13=1,Z13*$B$4/AJ13,1)</f>
        <v>0.39291286903227</v>
      </c>
      <c r="AL13" s="79" t="n">
        <f aca="false">IF(AH13=1,$B$4*AI13/AJ13,AB13)</f>
        <v>87.8510815417812</v>
      </c>
      <c r="AM13" s="19" t="n">
        <f aca="false">AL13*Holdings!$D$15</f>
        <v>32371.3665265155</v>
      </c>
      <c r="AN13" s="80" t="n">
        <f aca="false">AM13/Inputs!$B$14</f>
        <v>24470.0026657461</v>
      </c>
      <c r="AO13" s="21" t="n">
        <f aca="false">AN13/(1+Inputs!$B$17)^B13</f>
        <v>21627.916773936</v>
      </c>
      <c r="AP13" s="20" t="n">
        <f aca="false">AL13/Inputs!$B$9</f>
        <v>0.234269550778083</v>
      </c>
    </row>
    <row r="14" customFormat="false" ht="15" hidden="false" customHeight="false" outlineLevel="0" collapsed="false">
      <c r="A14" s="73" t="n">
        <v>2032</v>
      </c>
      <c r="B14" s="73" t="n">
        <f aca="false">A14-2026</f>
        <v>6</v>
      </c>
      <c r="C14" s="74" t="n">
        <f aca="false">MIN(1,B14/Inputs!$B$27)</f>
        <v>1</v>
      </c>
      <c r="D14" s="75" t="n">
        <f aca="false">Inputs!$B$30+($B$33-Inputs!$B$30)*((1/(1+EXP(-$B$35*($A14-$B$34))))-(1/(1+EXP(-$B$35*(2026-$B$34)))))/(1-(1/(1+EXP(-$B$35*(2026-$B$34)))))</f>
        <v>2.09711221810763</v>
      </c>
      <c r="E14" s="76" t="n">
        <f aca="false">E13-J13+D14+J14</f>
        <v>22.4787788344522</v>
      </c>
      <c r="F14" s="76" t="n">
        <f aca="false">MAX($B$37,Inputs!$B$32*(1+$B$36)^B14)</f>
        <v>39.0714262001415</v>
      </c>
      <c r="G14" s="24" t="n">
        <f aca="false">D14*F14</f>
        <v>81.9371652632071</v>
      </c>
      <c r="H14" s="75" t="n">
        <f aca="false">Inputs!$B$34+($B$39-Inputs!$B$34)*((1/(1+EXP(-$B$41*($A14-$B$40))))-(1/(1+EXP(-$B$41*(2026-$B$40)))))/(1-(1/(1+EXP(-$B$41*(2026-$B$40)))))</f>
        <v>2.87907461531857</v>
      </c>
      <c r="I14" s="24" t="n">
        <f aca="false">H14*$B$42*12/1000</f>
        <v>2.07293372302937</v>
      </c>
      <c r="J14" s="77" t="n">
        <f aca="false">Inputs!$B$35+($B$44-Inputs!$B$35)*((1/(1+EXP(-$B$46*($A14-$B$45))))-(1/(1+EXP(-$B$46*(2026-$B$45)))))/(1-(1/(1+EXP(-$B$46*(2026-$B$45)))))</f>
        <v>0.071571366608939</v>
      </c>
      <c r="K14" s="77" t="n">
        <f aca="false">(J14+J13)/2</f>
        <v>0.0604196844756093</v>
      </c>
      <c r="L14" s="75" t="n">
        <f aca="false">MAX($B$48,Inputs!$B$36*(1-Inputs!$B$37)^B14)</f>
        <v>1.1026378359375</v>
      </c>
      <c r="M14" s="24" t="n">
        <f aca="false">K14*$B$47*L14</f>
        <v>2.6648412055285</v>
      </c>
      <c r="N14" s="77" t="n">
        <f aca="false">Inputs!$B$39+($B$50-Inputs!$B$39)*((1/(1+EXP(-$B$52*($A14-$B$51))))-(1/(1+EXP(-$B$52*(2026-$B$51)))))/(1-(1/(1+EXP(-$B$52*(2026-$B$51)))))</f>
        <v>0.0299007087225451</v>
      </c>
      <c r="O14" s="75" t="n">
        <f aca="false">O13+N14</f>
        <v>0.0995526757902784</v>
      </c>
      <c r="P14" s="76" t="n">
        <f aca="false">MAX($B$53,Inputs!$B$40*(1-Inputs!$B$41)^B14)</f>
        <v>30.3177500672</v>
      </c>
      <c r="Q14" s="24" t="n">
        <f aca="false">N14*P14</f>
        <v>0.906522213882269</v>
      </c>
      <c r="R14" s="22" t="n">
        <f aca="false">Inputs!$B$43+($B$55-Inputs!$B$43)*((1/(1+EXP(-$B$57*($A14-$B$56))))-(1/(1+EXP(-$B$57*(2026-$B$56)))))/(1-(1/(1+EXP(-$B$57*(2026-$B$56)))))</f>
        <v>88.8869861037026</v>
      </c>
      <c r="S14" s="73" t="n">
        <f aca="false">MAX($B$58,Inputs!$B$44*(1-Inputs!$B$45)^B14)</f>
        <v>191.77565847552</v>
      </c>
      <c r="T14" s="24" t="n">
        <f aca="false">R14*S14/1000</f>
        <v>17.0463602899419</v>
      </c>
      <c r="U14" s="24" t="n">
        <f aca="false">U13*(1+$B$60*Inputs!$B$48^(B14-1))</f>
        <v>23.5068669116419</v>
      </c>
      <c r="V14" s="78" t="n">
        <f aca="false">G14+I14+M14+Q14+T14+U14</f>
        <v>128.134689607231</v>
      </c>
      <c r="W14" s="24" t="n">
        <f aca="false">G14*(Inputs!$B$33+($B$38-Inputs!$B$33)*C14)+I14*$B$43+M14*(Inputs!$B$38+($B$49-Inputs!$B$38)*C14)+Q14*(Inputs!$B$42+($B$54-Inputs!$B$42)*C14)+T14*(Inputs!$B$46+($B$59-Inputs!$B$46)*C14)+U14*$B$61-V14*Inputs!$B$49</f>
        <v>15.0378577995032</v>
      </c>
      <c r="X14" s="24" t="n">
        <f aca="false">(W14-V14*(Inputs!$B$50+Inputs!$B$51))*(1-Inputs!$B$52)</f>
        <v>1.75726718263623</v>
      </c>
      <c r="Y14" s="76" t="n">
        <f aca="false">$B$62+($B$63-$B$62)*MIN(1,MAX(0,(A14-2027)/(Inputs!$B$26-2027)))</f>
        <v>17.4545454545455</v>
      </c>
      <c r="Z14" s="77" t="n">
        <f aca="false">Inputs!$B$11*(1+$B$64)^B14</f>
        <v>4.31860599359151</v>
      </c>
      <c r="AA14" s="22" t="n">
        <f aca="false">MIN(1,B14/Inputs!$B$25)*(W15*Y14+Inputs!$B$28)+(1-MIN(1,B14/Inputs!$B$25))*Inputs!$B$9*Inputs!$B$11</f>
        <v>320.627293533556</v>
      </c>
      <c r="AB14" s="79" t="n">
        <f aca="false">AA14/Z14</f>
        <v>74.2432382137531</v>
      </c>
      <c r="AC14" s="22" t="n">
        <f aca="false">Inputs!$B$53+($B$65-Inputs!$B$53)*((1/(1+EXP(-$B$67*($A14-$B$66))))-(1/(1+EXP(-$B$67*(2026-$B$66)))))/(1-(1/(1+EXP(-$B$67*(2026-$B$66)))))</f>
        <v>115.713126075808</v>
      </c>
      <c r="AD14" s="22" t="n">
        <f aca="false">AC14*(Inputs!$B$54+($B$68-Inputs!$B$54)*C14)</f>
        <v>34.7139378227424</v>
      </c>
      <c r="AE14" s="75" t="n">
        <f aca="false">Inputs!$B$13*(1+$B$69)^B14</f>
        <v>15.7370396851489</v>
      </c>
      <c r="AF14" s="22" t="n">
        <f aca="false">MIN(1,B14/Inputs!$B$25)*(AD15*Y14)+(1-MIN(1,B14/Inputs!$B$25))*Inputs!$B$12*Inputs!$B$13</f>
        <v>751.78398118736</v>
      </c>
      <c r="AG14" s="19" t="n">
        <f aca="false">AF14/AE14</f>
        <v>47.771626444891</v>
      </c>
      <c r="AH14" s="73" t="n">
        <f aca="false">IF(AND(Inputs!$B$19="Yes",A14&gt;=$B$5),1,0)</f>
        <v>1</v>
      </c>
      <c r="AI14" s="22" t="n">
        <f aca="false">(AA14+AF14)*(1+IF(AH14=1,$B$70*MIN(1,(A14-$B$5+1)/3),0))</f>
        <v>1072.41127472092</v>
      </c>
      <c r="AJ14" s="75" t="n">
        <f aca="false">AE14+Z14*$B$4</f>
        <v>25.8228418125501</v>
      </c>
      <c r="AK14" s="58" t="n">
        <f aca="false">IF(AH14=1,Z14*$B$4/AJ14,1)</f>
        <v>0.390576769226826</v>
      </c>
      <c r="AL14" s="79" t="n">
        <f aca="false">IF(AH14=1,$B$4*AI14/AJ14,AB14)</f>
        <v>96.9893830519554</v>
      </c>
      <c r="AM14" s="19" t="n">
        <f aca="false">AL14*Holdings!$D$15</f>
        <v>35738.6478669845</v>
      </c>
      <c r="AN14" s="80" t="n">
        <f aca="false">AM14/Inputs!$B$14</f>
        <v>27015.3812585869</v>
      </c>
      <c r="AO14" s="21" t="n">
        <f aca="false">AN14/(1+Inputs!$B$17)^B14</f>
        <v>23295.2785920076</v>
      </c>
      <c r="AP14" s="20" t="n">
        <f aca="false">AL14/Inputs!$B$9</f>
        <v>0.258638354805215</v>
      </c>
    </row>
    <row r="15" customFormat="false" ht="15" hidden="false" customHeight="false" outlineLevel="0" collapsed="false">
      <c r="A15" s="73" t="n">
        <v>2033</v>
      </c>
      <c r="B15" s="73" t="n">
        <f aca="false">A15-2026</f>
        <v>7</v>
      </c>
      <c r="C15" s="74" t="n">
        <f aca="false">MIN(1,B15/Inputs!$B$27)</f>
        <v>1</v>
      </c>
      <c r="D15" s="75" t="n">
        <f aca="false">Inputs!$B$30+($B$33-Inputs!$B$30)*((1/(1+EXP(-$B$35*($A15-$B$34))))-(1/(1+EXP(-$B$35*(2026-$B$34)))))/(1-(1/(1+EXP(-$B$35*(2026-$B$34)))))</f>
        <v>2.18003291648617</v>
      </c>
      <c r="E15" s="76" t="n">
        <f aca="false">E14-J14+D15+J15</f>
        <v>24.6887234846179</v>
      </c>
      <c r="F15" s="76" t="n">
        <f aca="false">MAX($B$37,Inputs!$B$32*(1+$B$36)^B15)</f>
        <v>38.6807119381401</v>
      </c>
      <c r="G15" s="24" t="n">
        <f aca="false">D15*F15</f>
        <v>84.3252252582649</v>
      </c>
      <c r="H15" s="75" t="n">
        <f aca="false">Inputs!$B$34+($B$39-Inputs!$B$34)*((1/(1+EXP(-$B$41*($A15-$B$40))))-(1/(1+EXP(-$B$41*(2026-$B$40)))))/(1-(1/(1+EXP(-$B$41*(2026-$B$40)))))</f>
        <v>3.30628854137717</v>
      </c>
      <c r="I15" s="24" t="n">
        <f aca="false">H15*$B$42*12/1000</f>
        <v>2.38052774979156</v>
      </c>
      <c r="J15" s="77" t="n">
        <f aca="false">Inputs!$B$35+($B$44-Inputs!$B$35)*((1/(1+EXP(-$B$46*($A15-$B$45))))-(1/(1+EXP(-$B$46*(2026-$B$45)))))/(1-(1/(1+EXP(-$B$46*(2026-$B$45)))))</f>
        <v>0.101483100288525</v>
      </c>
      <c r="K15" s="77" t="n">
        <f aca="false">(J15+J14)/2</f>
        <v>0.086527233448732</v>
      </c>
      <c r="L15" s="75" t="n">
        <f aca="false">MAX($B$48,Inputs!$B$36*(1-Inputs!$B$37)^B15)</f>
        <v>1.1</v>
      </c>
      <c r="M15" s="24" t="n">
        <f aca="false">K15*$B$47*L15</f>
        <v>3.80719827174421</v>
      </c>
      <c r="N15" s="77" t="n">
        <f aca="false">Inputs!$B$39+($B$50-Inputs!$B$39)*((1/(1+EXP(-$B$52*($A15-$B$51))))-(1/(1+EXP(-$B$52*(2026-$B$51)))))/(1-(1/(1+EXP(-$B$52*(2026-$B$51)))))</f>
        <v>0.0409288383749502</v>
      </c>
      <c r="O15" s="75" t="n">
        <f aca="false">O14+N15</f>
        <v>0.140481514165229</v>
      </c>
      <c r="P15" s="76" t="n">
        <f aca="false">MAX($B$53,Inputs!$B$40*(1-Inputs!$B$41)^B15)</f>
        <v>30</v>
      </c>
      <c r="Q15" s="24" t="n">
        <f aca="false">N15*P15</f>
        <v>1.22786515124851</v>
      </c>
      <c r="R15" s="22" t="n">
        <f aca="false">Inputs!$B$43+($B$55-Inputs!$B$43)*((1/(1+EXP(-$B$57*($A15-$B$56))))-(1/(1+EXP(-$B$57*(2026-$B$56)))))/(1-(1/(1+EXP(-$B$57*(2026-$B$56)))))</f>
        <v>98.1662228192896</v>
      </c>
      <c r="S15" s="73" t="n">
        <f aca="false">MAX($B$58,Inputs!$B$44*(1-Inputs!$B$45)^B15)</f>
        <v>184.104632136499</v>
      </c>
      <c r="T15" s="24" t="n">
        <f aca="false">R15*S15/1000</f>
        <v>18.0728563403749</v>
      </c>
      <c r="U15" s="24" t="n">
        <f aca="false">U14*(1+$B$60*Inputs!$B$48^(B15-1))</f>
        <v>24.4193896397704</v>
      </c>
      <c r="V15" s="78" t="n">
        <f aca="false">G15+I15+M15+Q15+T15+U15</f>
        <v>134.233062411195</v>
      </c>
      <c r="W15" s="24" t="n">
        <f aca="false">G15*(Inputs!$B$33+($B$38-Inputs!$B$33)*C15)+I15*$B$43+M15*(Inputs!$B$38+($B$49-Inputs!$B$38)*C15)+Q15*(Inputs!$B$42+($B$54-Inputs!$B$42)*C15)+T15*(Inputs!$B$46+($B$59-Inputs!$B$46)*C15)+U15*$B$61-V15*Inputs!$B$49</f>
        <v>16.2093761920267</v>
      </c>
      <c r="X15" s="24" t="n">
        <f aca="false">(W15-V15*(Inputs!$B$50+Inputs!$B$51))*(1-Inputs!$B$52)</f>
        <v>2.2009952612167</v>
      </c>
      <c r="Y15" s="76" t="n">
        <f aca="false">$B$62+($B$63-$B$62)*MIN(1,MAX(0,(A15-2027)/(Inputs!$B$26-2027)))</f>
        <v>16.5454545454545</v>
      </c>
      <c r="Z15" s="77" t="n">
        <f aca="false">Inputs!$B$11*(1+$B$64)^B15</f>
        <v>4.38338508349538</v>
      </c>
      <c r="AA15" s="22" t="n">
        <f aca="false">MIN(1,B15/Inputs!$B$25)*(W16*Y15+Inputs!$B$28)+(1-MIN(1,B15/Inputs!$B$25))*Inputs!$B$9*Inputs!$B$11</f>
        <v>328.906906736445</v>
      </c>
      <c r="AB15" s="79" t="n">
        <f aca="false">AA15/Z15</f>
        <v>75.0349103424356</v>
      </c>
      <c r="AC15" s="22" t="n">
        <f aca="false">Inputs!$B$53+($B$65-Inputs!$B$53)*((1/(1+EXP(-$B$67*($A15-$B$66))))-(1/(1+EXP(-$B$67*(2026-$B$66)))))/(1-(1/(1+EXP(-$B$67*(2026-$B$66)))))</f>
        <v>143.569857518419</v>
      </c>
      <c r="AD15" s="22" t="n">
        <f aca="false">AC15*(Inputs!$B$54+($B$68-Inputs!$B$54)*C15)</f>
        <v>43.0709572555258</v>
      </c>
      <c r="AE15" s="75" t="n">
        <f aca="false">Inputs!$B$13*(1+$B$69)^B15</f>
        <v>16.1304656772776</v>
      </c>
      <c r="AF15" s="22" t="n">
        <f aca="false">MIN(1,B15/Inputs!$B$25)*(AD16*Y15)+(1-MIN(1,B15/Inputs!$B$25))*Inputs!$B$12*Inputs!$B$13</f>
        <v>868.011027563001</v>
      </c>
      <c r="AG15" s="19" t="n">
        <f aca="false">AF15/AE15</f>
        <v>53.8119013380831</v>
      </c>
      <c r="AH15" s="73" t="n">
        <f aca="false">IF(AND(Inputs!$B$19="Yes",A15&gt;=$B$5),1,0)</f>
        <v>1</v>
      </c>
      <c r="AI15" s="22" t="n">
        <f aca="false">(AA15+AF15)*(1+IF(AH15=1,$B$70*MIN(1,(A15-$B$5+1)/3),0))</f>
        <v>1196.91793429945</v>
      </c>
      <c r="AJ15" s="75" t="n">
        <f aca="false">AE15+Z15*$B$4</f>
        <v>26.3675548365899</v>
      </c>
      <c r="AK15" s="58" t="n">
        <f aca="false">IF(AH15=1,Z15*$B$4/AJ15,1)</f>
        <v>0.388245676277361</v>
      </c>
      <c r="AL15" s="79" t="n">
        <f aca="false">IF(AH15=1,$B$4*AI15/AJ15,AB15)</f>
        <v>106.013549802025</v>
      </c>
      <c r="AM15" s="19" t="n">
        <f aca="false">AL15*Holdings!$D$15</f>
        <v>39063.8728310501</v>
      </c>
      <c r="AN15" s="80" t="n">
        <f aca="false">AM15/Inputs!$B$14</f>
        <v>29528.9688041803</v>
      </c>
      <c r="AO15" s="21" t="n">
        <f aca="false">AN15/(1+Inputs!$B$17)^B15</f>
        <v>24841.6948828197</v>
      </c>
      <c r="AP15" s="20" t="n">
        <f aca="false">AL15/Inputs!$B$9</f>
        <v>0.282702799472066</v>
      </c>
    </row>
    <row r="16" customFormat="false" ht="15" hidden="false" customHeight="false" outlineLevel="0" collapsed="false">
      <c r="A16" s="73" t="n">
        <v>2034</v>
      </c>
      <c r="B16" s="73" t="n">
        <f aca="false">A16-2026</f>
        <v>8</v>
      </c>
      <c r="C16" s="74" t="n">
        <f aca="false">MIN(1,B16/Inputs!$B$27)</f>
        <v>1</v>
      </c>
      <c r="D16" s="75" t="n">
        <f aca="false">Inputs!$B$30+($B$33-Inputs!$B$30)*((1/(1+EXP(-$B$35*($A16-$B$34))))-(1/(1+EXP(-$B$35*(2026-$B$34)))))/(1-(1/(1+EXP(-$B$35*(2026-$B$34)))))</f>
        <v>2.27047261737474</v>
      </c>
      <c r="E16" s="76" t="n">
        <f aca="false">E15-J15+D16+J16</f>
        <v>26.9984793514747</v>
      </c>
      <c r="F16" s="76" t="n">
        <f aca="false">MAX($B$37,Inputs!$B$32*(1+$B$36)^B16)</f>
        <v>38.2939048187587</v>
      </c>
      <c r="G16" s="24" t="n">
        <f aca="false">D16*F16</f>
        <v>86.9452623033461</v>
      </c>
      <c r="H16" s="75" t="n">
        <f aca="false">Inputs!$B$34+($B$39-Inputs!$B$34)*((1/(1+EXP(-$B$41*($A16-$B$40))))-(1/(1+EXP(-$B$41*(2026-$B$40)))))/(1-(1/(1+EXP(-$B$41*(2026-$B$40)))))</f>
        <v>3.80775879398914</v>
      </c>
      <c r="I16" s="24" t="n">
        <f aca="false">H16*$B$42*12/1000</f>
        <v>2.74158633167218</v>
      </c>
      <c r="J16" s="77" t="n">
        <f aca="false">Inputs!$B$35+($B$44-Inputs!$B$35)*((1/(1+EXP(-$B$46*($A16-$B$45))))-(1/(1+EXP(-$B$46*(2026-$B$45)))))/(1-(1/(1+EXP(-$B$46*(2026-$B$45)))))</f>
        <v>0.140766349770599</v>
      </c>
      <c r="K16" s="77" t="n">
        <f aca="false">(J16+J15)/2</f>
        <v>0.121124725029562</v>
      </c>
      <c r="L16" s="75" t="n">
        <f aca="false">MAX($B$48,Inputs!$B$36*(1-Inputs!$B$37)^B16)</f>
        <v>1.1</v>
      </c>
      <c r="M16" s="24" t="n">
        <f aca="false">K16*$B$47*L16</f>
        <v>5.32948790130072</v>
      </c>
      <c r="N16" s="77" t="n">
        <f aca="false">Inputs!$B$39+($B$50-Inputs!$B$39)*((1/(1+EXP(-$B$52*($A16-$B$51))))-(1/(1+EXP(-$B$52*(2026-$B$51)))))/(1-(1/(1+EXP(-$B$52*(2026-$B$51)))))</f>
        <v>0.0557190051499153</v>
      </c>
      <c r="O16" s="75" t="n">
        <f aca="false">O15+N16</f>
        <v>0.196200519315144</v>
      </c>
      <c r="P16" s="76" t="n">
        <f aca="false">MAX($B$53,Inputs!$B$40*(1-Inputs!$B$41)^B16)</f>
        <v>30</v>
      </c>
      <c r="Q16" s="24" t="n">
        <f aca="false">N16*P16</f>
        <v>1.67157015449746</v>
      </c>
      <c r="R16" s="22" t="n">
        <f aca="false">Inputs!$B$43+($B$55-Inputs!$B$43)*((1/(1+EXP(-$B$57*($A16-$B$56))))-(1/(1+EXP(-$B$57*(2026-$B$56)))))/(1-(1/(1+EXP(-$B$57*(2026-$B$56)))))</f>
        <v>108.028438714383</v>
      </c>
      <c r="S16" s="73" t="n">
        <f aca="false">MAX($B$58,Inputs!$B$44*(1-Inputs!$B$45)^B16)</f>
        <v>176.740446851039</v>
      </c>
      <c r="T16" s="24" t="n">
        <f aca="false">R16*S16/1000</f>
        <v>19.0929945310001</v>
      </c>
      <c r="U16" s="24" t="n">
        <f aca="false">U15*(1+$B$60*Inputs!$B$48^(B16-1))</f>
        <v>25.3009797201277</v>
      </c>
      <c r="V16" s="78" t="n">
        <f aca="false">G16+I16+M16+Q16+T16+U16</f>
        <v>141.081880941944</v>
      </c>
      <c r="W16" s="24" t="n">
        <f aca="false">G16*(Inputs!$B$33+($B$38-Inputs!$B$33)*C16)+I16*$B$43+M16*(Inputs!$B$38+($B$49-Inputs!$B$38)*C16)+Q16*(Inputs!$B$42+($B$54-Inputs!$B$42)*C16)+T16*(Inputs!$B$46+($B$59-Inputs!$B$46)*C16)+U16*$B$61-V16*Inputs!$B$49</f>
        <v>17.6004174401148</v>
      </c>
      <c r="X16" s="24" t="n">
        <f aca="false">(W16-V16*(Inputs!$B$50+Inputs!$B$51))*(1-Inputs!$B$52)</f>
        <v>2.75886118327712</v>
      </c>
      <c r="Y16" s="76" t="n">
        <f aca="false">$B$62+($B$63-$B$62)*MIN(1,MAX(0,(A16-2027)/(Inputs!$B$26-2027)))</f>
        <v>15.6363636363636</v>
      </c>
      <c r="Z16" s="77" t="n">
        <f aca="false">Inputs!$B$11*(1+$B$64)^B16</f>
        <v>4.44913585974781</v>
      </c>
      <c r="AA16" s="22" t="n">
        <f aca="false">MIN(1,B16/Inputs!$B$25)*(W17*Y16+Inputs!$B$28)+(1-MIN(1,B16/Inputs!$B$25))*Inputs!$B$9*Inputs!$B$11</f>
        <v>338.152495072059</v>
      </c>
      <c r="AB16" s="79" t="n">
        <f aca="false">AA16/Z16</f>
        <v>76.0040838787122</v>
      </c>
      <c r="AC16" s="22" t="n">
        <f aca="false">Inputs!$B$53+($B$65-Inputs!$B$53)*((1/(1+EXP(-$B$67*($A16-$B$66))))-(1/(1+EXP(-$B$67*(2026-$B$66)))))/(1-(1/(1+EXP(-$B$67*(2026-$B$66)))))</f>
        <v>174.874016541996</v>
      </c>
      <c r="AD16" s="22" t="n">
        <f aca="false">AC16*(Inputs!$B$54+($B$68-Inputs!$B$54)*C16)</f>
        <v>52.4622049625989</v>
      </c>
      <c r="AE16" s="75" t="n">
        <f aca="false">Inputs!$B$13*(1+$B$69)^B16</f>
        <v>16.5337273192096</v>
      </c>
      <c r="AF16" s="22" t="n">
        <f aca="false">MIN(1,B16/Inputs!$B$25)*(AD17*Y16)+(1-MIN(1,B16/Inputs!$B$25))*Inputs!$B$12*Inputs!$B$13</f>
        <v>976.249524243052</v>
      </c>
      <c r="AG16" s="19" t="n">
        <f aca="false">AF16/AE16</f>
        <v>59.0459432041561</v>
      </c>
      <c r="AH16" s="73" t="n">
        <f aca="false">IF(AND(Inputs!$B$19="Yes",A16&gt;=$B$5),1,0)</f>
        <v>1</v>
      </c>
      <c r="AI16" s="22" t="n">
        <f aca="false">(AA16+AF16)*(1+IF(AH16=1,$B$70*MIN(1,(A16-$B$5+1)/3),0))</f>
        <v>1314.40201931511</v>
      </c>
      <c r="AJ16" s="75" t="n">
        <f aca="false">AE16+Z16*$B$4</f>
        <v>26.9243728159115</v>
      </c>
      <c r="AK16" s="58" t="n">
        <f aca="false">IF(AH16=1,Z16*$B$4/AJ16,1)</f>
        <v>0.385919685771153</v>
      </c>
      <c r="AL16" s="79" t="n">
        <f aca="false">IF(AH16=1,$B$4*AI16/AJ16,AB16)</f>
        <v>114.011716041373</v>
      </c>
      <c r="AM16" s="19" t="n">
        <f aca="false">AL16*Holdings!$D$15</f>
        <v>42011.037126925</v>
      </c>
      <c r="AN16" s="80" t="n">
        <f aca="false">AM16/Inputs!$B$14</f>
        <v>31756.7746064895</v>
      </c>
      <c r="AO16" s="21" t="n">
        <f aca="false">AN16/(1+Inputs!$B$17)^B16</f>
        <v>26064.2638583606</v>
      </c>
      <c r="AP16" s="20" t="n">
        <f aca="false">AL16/Inputs!$B$9</f>
        <v>0.304031242776994</v>
      </c>
    </row>
    <row r="17" customFormat="false" ht="15" hidden="false" customHeight="false" outlineLevel="0" collapsed="false">
      <c r="A17" s="73" t="n">
        <v>2035</v>
      </c>
      <c r="B17" s="73" t="n">
        <f aca="false">A17-2026</f>
        <v>9</v>
      </c>
      <c r="C17" s="74" t="n">
        <f aca="false">MIN(1,B17/Inputs!$B$27)</f>
        <v>1</v>
      </c>
      <c r="D17" s="75" t="n">
        <f aca="false">Inputs!$B$30+($B$33-Inputs!$B$30)*((1/(1+EXP(-$B$35*($A17-$B$34))))-(1/(1+EXP(-$B$35*(2026-$B$34)))))/(1-(1/(1+EXP(-$B$35*(2026-$B$34)))))</f>
        <v>2.36501271991985</v>
      </c>
      <c r="E17" s="76" t="n">
        <f aca="false">E16-J16+D17+J17</f>
        <v>29.4136863134209</v>
      </c>
      <c r="F17" s="76" t="n">
        <f aca="false">MAX($B$37,Inputs!$B$32*(1+$B$36)^B17)</f>
        <v>37.9109657705711</v>
      </c>
      <c r="G17" s="24" t="n">
        <f aca="false">D17*F17</f>
        <v>89.6599162718467</v>
      </c>
      <c r="H17" s="75" t="n">
        <f aca="false">Inputs!$B$34+($B$39-Inputs!$B$34)*((1/(1+EXP(-$B$41*($A17-$B$40))))-(1/(1+EXP(-$B$41*(2026-$B$40)))))/(1-(1/(1+EXP(-$B$41*(2026-$B$40)))))</f>
        <v>4.3764506908433</v>
      </c>
      <c r="I17" s="24" t="n">
        <f aca="false">H17*$B$42*12/1000</f>
        <v>3.15104449740718</v>
      </c>
      <c r="J17" s="77" t="n">
        <f aca="false">Inputs!$B$35+($B$44-Inputs!$B$35)*((1/(1+EXP(-$B$46*($A17-$B$45))))-(1/(1+EXP(-$B$46*(2026-$B$45)))))/(1-(1/(1+EXP(-$B$46*(2026-$B$45)))))</f>
        <v>0.190960591796911</v>
      </c>
      <c r="K17" s="77" t="n">
        <f aca="false">(J17+J16)/2</f>
        <v>0.165863470783755</v>
      </c>
      <c r="L17" s="75" t="n">
        <f aca="false">MAX($B$48,Inputs!$B$36*(1-Inputs!$B$37)^B17)</f>
        <v>1.1</v>
      </c>
      <c r="M17" s="24" t="n">
        <f aca="false">K17*$B$47*L17</f>
        <v>7.29799271448521</v>
      </c>
      <c r="N17" s="77" t="n">
        <f aca="false">Inputs!$B$39+($B$50-Inputs!$B$39)*((1/(1+EXP(-$B$52*($A17-$B$51))))-(1/(1+EXP(-$B$52*(2026-$B$51)))))/(1-(1/(1+EXP(-$B$52*(2026-$B$51)))))</f>
        <v>0.0751430150560662</v>
      </c>
      <c r="O17" s="75" t="n">
        <f aca="false">O16+N17</f>
        <v>0.27134353437121</v>
      </c>
      <c r="P17" s="76" t="n">
        <f aca="false">MAX($B$53,Inputs!$B$40*(1-Inputs!$B$41)^B17)</f>
        <v>30</v>
      </c>
      <c r="Q17" s="24" t="n">
        <f aca="false">N17*P17</f>
        <v>2.25429045168199</v>
      </c>
      <c r="R17" s="22" t="n">
        <f aca="false">Inputs!$B$43+($B$55-Inputs!$B$43)*((1/(1+EXP(-$B$57*($A17-$B$56))))-(1/(1+EXP(-$B$57*(2026-$B$56)))))/(1-(1/(1+EXP(-$B$57*(2026-$B$56)))))</f>
        <v>118.200457382422</v>
      </c>
      <c r="S17" s="73" t="n">
        <f aca="false">MAX($B$58,Inputs!$B$44*(1-Inputs!$B$45)^B17)</f>
        <v>169.670828976998</v>
      </c>
      <c r="T17" s="24" t="n">
        <f aca="false">R17*S17/1000</f>
        <v>20.0551695895358</v>
      </c>
      <c r="U17" s="24" t="n">
        <f aca="false">U16*(1+$B$60*Inputs!$B$48^(B17-1))</f>
        <v>26.150457801213</v>
      </c>
      <c r="V17" s="78" t="n">
        <f aca="false">G17+I17+M17+Q17+T17+U17</f>
        <v>148.56887132617</v>
      </c>
      <c r="W17" s="24" t="n">
        <f aca="false">G17*(Inputs!$B$33+($B$38-Inputs!$B$33)*C17)+I17*$B$43+M17*(Inputs!$B$38+($B$49-Inputs!$B$38)*C17)+Q17*(Inputs!$B$42+($B$54-Inputs!$B$42)*C17)+T17*(Inputs!$B$46+($B$59-Inputs!$B$46)*C17)+U17*$B$61-V17*Inputs!$B$49</f>
        <v>19.2149851499573</v>
      </c>
      <c r="X17" s="24" t="n">
        <f aca="false">(W17-V17*(Inputs!$B$50+Inputs!$B$51))*(1-Inputs!$B$52)</f>
        <v>3.44289743369881</v>
      </c>
      <c r="Y17" s="76" t="n">
        <f aca="false">$B$62+($B$63-$B$62)*MIN(1,MAX(0,(A17-2027)/(Inputs!$B$26-2027)))</f>
        <v>14.7272727272727</v>
      </c>
      <c r="Z17" s="77" t="n">
        <f aca="false">Inputs!$B$11*(1+$B$64)^B17</f>
        <v>4.51587289764403</v>
      </c>
      <c r="AA17" s="22" t="n">
        <f aca="false">MIN(1,B17/Inputs!$B$25)*(W18*Y17+Inputs!$B$28)+(1-MIN(1,B17/Inputs!$B$25))*Inputs!$B$9*Inputs!$B$11</f>
        <v>347.66675945243</v>
      </c>
      <c r="AB17" s="79" t="n">
        <f aca="false">AA17/Z17</f>
        <v>76.9877202774709</v>
      </c>
      <c r="AC17" s="22" t="n">
        <f aca="false">Inputs!$B$53+($B$65-Inputs!$B$53)*((1/(1+EXP(-$B$67*($A17-$B$66))))-(1/(1+EXP(-$B$67*(2026-$B$66)))))/(1-(1/(1+EXP(-$B$67*(2026-$B$66)))))</f>
        <v>208.115208656465</v>
      </c>
      <c r="AD17" s="22" t="n">
        <f aca="false">AC17*(Inputs!$B$54+($B$68-Inputs!$B$54)*C17)</f>
        <v>62.4345625969394</v>
      </c>
      <c r="AE17" s="75" t="n">
        <f aca="false">Inputs!$B$13*(1+$B$69)^B17</f>
        <v>16.9470705021898</v>
      </c>
      <c r="AF17" s="22" t="n">
        <f aca="false">MIN(1,B17/Inputs!$B$25)*(AD18*Y17)+(1-MIN(1,B17/Inputs!$B$25))*Inputs!$B$12*Inputs!$B$13</f>
        <v>1066.35646158794</v>
      </c>
      <c r="AG17" s="19" t="n">
        <f aca="false">AF17/AE17</f>
        <v>62.9227606889433</v>
      </c>
      <c r="AH17" s="73" t="n">
        <f aca="false">IF(AND(Inputs!$B$19="Yes",A17&gt;=$B$5),1,0)</f>
        <v>1</v>
      </c>
      <c r="AI17" s="22" t="n">
        <f aca="false">(AA17+AF17)*(1+IF(AH17=1,$B$70*MIN(1,(A17-$B$5+1)/3),0))</f>
        <v>1414.02322104037</v>
      </c>
      <c r="AJ17" s="75" t="n">
        <f aca="false">AE17+Z17*$B$4</f>
        <v>27.4935756813423</v>
      </c>
      <c r="AK17" s="58" t="n">
        <f aca="false">IF(AH17=1,Z17*$B$4/AJ17,1)</f>
        <v>0.383598892388142</v>
      </c>
      <c r="AL17" s="79" t="n">
        <f aca="false">IF(AH17=1,$B$4*AI17/AJ17,AB17)</f>
        <v>120.113597901567</v>
      </c>
      <c r="AM17" s="19" t="n">
        <f aca="false">AL17*Holdings!$D$15</f>
        <v>44259.4585547694</v>
      </c>
      <c r="AN17" s="80" t="n">
        <f aca="false">AM17/Inputs!$B$14</f>
        <v>33456.3901691507</v>
      </c>
      <c r="AO17" s="21" t="n">
        <f aca="false">AN17/(1+Inputs!$B$17)^B17</f>
        <v>26789.4804908442</v>
      </c>
      <c r="AP17" s="20" t="n">
        <f aca="false">AL17/Inputs!$B$9</f>
        <v>0.320302927737512</v>
      </c>
    </row>
    <row r="18" customFormat="false" ht="15" hidden="false" customHeight="false" outlineLevel="0" collapsed="false">
      <c r="A18" s="73" t="n">
        <v>2036</v>
      </c>
      <c r="B18" s="73" t="n">
        <f aca="false">A18-2026</f>
        <v>10</v>
      </c>
      <c r="C18" s="74" t="n">
        <f aca="false">MIN(1,B18/Inputs!$B$27)</f>
        <v>1</v>
      </c>
      <c r="D18" s="75" t="n">
        <f aca="false">Inputs!$B$30+($B$33-Inputs!$B$30)*((1/(1+EXP(-$B$35*($A18-$B$34))))-(1/(1+EXP(-$B$35*(2026-$B$34)))))/(1-(1/(1+EXP(-$B$35*(2026-$B$34)))))</f>
        <v>2.45955282246496</v>
      </c>
      <c r="E18" s="76" t="n">
        <f aca="false">E17-J17+D18+J18</f>
        <v>31.9351729307826</v>
      </c>
      <c r="F18" s="76" t="n">
        <f aca="false">MAX($B$37,Inputs!$B$32*(1+$B$36)^B18)</f>
        <v>37.5318561128654</v>
      </c>
      <c r="G18" s="24" t="n">
        <f aca="false">D18*F18</f>
        <v>92.3115826347469</v>
      </c>
      <c r="H18" s="75" t="n">
        <f aca="false">Inputs!$B$34+($B$39-Inputs!$B$34)*((1/(1+EXP(-$B$41*($A18-$B$40))))-(1/(1+EXP(-$B$41*(2026-$B$40)))))/(1-(1/(1+EXP(-$B$41*(2026-$B$40)))))</f>
        <v>4.99670987889845</v>
      </c>
      <c r="I18" s="24" t="n">
        <f aca="false">H18*$B$42*12/1000</f>
        <v>3.59763111280688</v>
      </c>
      <c r="J18" s="77" t="n">
        <f aca="false">Inputs!$B$35+($B$44-Inputs!$B$35)*((1/(1+EXP(-$B$46*($A18-$B$45))))-(1/(1+EXP(-$B$46*(2026-$B$45)))))/(1-(1/(1+EXP(-$B$46*(2026-$B$45)))))</f>
        <v>0.252894386693649</v>
      </c>
      <c r="K18" s="77" t="n">
        <f aca="false">(J18+J17)/2</f>
        <v>0.22192748924528</v>
      </c>
      <c r="L18" s="75" t="n">
        <f aca="false">MAX($B$48,Inputs!$B$36*(1-Inputs!$B$37)^B18)</f>
        <v>1.1</v>
      </c>
      <c r="M18" s="24" t="n">
        <f aca="false">K18*$B$47*L18</f>
        <v>9.76480952679232</v>
      </c>
      <c r="N18" s="77" t="n">
        <f aca="false">Inputs!$B$39+($B$50-Inputs!$B$39)*((1/(1+EXP(-$B$52*($A18-$B$51))))-(1/(1+EXP(-$B$52*(2026-$B$51)))))/(1-(1/(1+EXP(-$B$52*(2026-$B$51)))))</f>
        <v>0.0999620783261693</v>
      </c>
      <c r="O18" s="75" t="n">
        <f aca="false">O17+N18</f>
        <v>0.371305612697379</v>
      </c>
      <c r="P18" s="76" t="n">
        <f aca="false">MAX($B$53,Inputs!$B$40*(1-Inputs!$B$41)^B18)</f>
        <v>30</v>
      </c>
      <c r="Q18" s="24" t="n">
        <f aca="false">N18*P18</f>
        <v>2.99886234978508</v>
      </c>
      <c r="R18" s="22" t="n">
        <f aca="false">Inputs!$B$43+($B$55-Inputs!$B$43)*((1/(1+EXP(-$B$57*($A18-$B$56))))-(1/(1+EXP(-$B$57*(2026-$B$56)))))/(1-(1/(1+EXP(-$B$57*(2026-$B$56)))))</f>
        <v>128.372476050461</v>
      </c>
      <c r="S18" s="73" t="n">
        <f aca="false">MAX($B$58,Inputs!$B$44*(1-Inputs!$B$45)^B18)</f>
        <v>162.883995817918</v>
      </c>
      <c r="T18" s="24" t="n">
        <f aca="false">R18*S18/1000</f>
        <v>20.9098218521391</v>
      </c>
      <c r="U18" s="24" t="n">
        <f aca="false">U17*(1+$B$60*Inputs!$B$48^(B18-1))</f>
        <v>26.9669970851114</v>
      </c>
      <c r="V18" s="78" t="n">
        <f aca="false">G18+I18+M18+Q18+T18+U18</f>
        <v>156.549704561382</v>
      </c>
      <c r="W18" s="24" t="n">
        <f aca="false">G18*(Inputs!$B$33+($B$38-Inputs!$B$33)*C18)+I18*$B$43+M18*(Inputs!$B$38+($B$49-Inputs!$B$38)*C18)+Q18*(Inputs!$B$42+($B$54-Inputs!$B$42)*C18)+T18*(Inputs!$B$46+($B$59-Inputs!$B$46)*C18)+U18*$B$61-V18*Inputs!$B$49</f>
        <v>21.0471256418317</v>
      </c>
      <c r="X18" s="24" t="n">
        <f aca="false">(W18-V18*(Inputs!$B$50+Inputs!$B$51))*(1-Inputs!$B$52)</f>
        <v>4.25980259669788</v>
      </c>
      <c r="Y18" s="76" t="n">
        <f aca="false">$B$62+($B$63-$B$62)*MIN(1,MAX(0,(A18-2027)/(Inputs!$B$26-2027)))</f>
        <v>13.8181818181818</v>
      </c>
      <c r="Z18" s="77" t="n">
        <f aca="false">Inputs!$B$11*(1+$B$64)^B18</f>
        <v>4.58361099110869</v>
      </c>
      <c r="AA18" s="22" t="n">
        <f aca="false">MIN(1,B18/Inputs!$B$25)*(W19*Y18+Inputs!$B$28)+(1-MIN(1,B18/Inputs!$B$25))*Inputs!$B$9*Inputs!$B$11</f>
        <v>356.489728749492</v>
      </c>
      <c r="AB18" s="79" t="n">
        <f aca="false">AA18/Z18</f>
        <v>77.7748655898182</v>
      </c>
      <c r="AC18" s="22" t="n">
        <f aca="false">Inputs!$B$53+($B$65-Inputs!$B$53)*((1/(1+EXP(-$B$67*($A18-$B$66))))-(1/(1+EXP(-$B$67*(2026-$B$66)))))/(1-(1/(1+EXP(-$B$67*(2026-$B$66)))))</f>
        <v>241.356400770933</v>
      </c>
      <c r="AD18" s="22" t="n">
        <f aca="false">AC18*(Inputs!$B$54+($B$68-Inputs!$B$54)*C18)</f>
        <v>72.4069202312798</v>
      </c>
      <c r="AE18" s="75" t="n">
        <f aca="false">Inputs!$B$13*(1+$B$69)^B18</f>
        <v>17.3707472647446</v>
      </c>
      <c r="AF18" s="22" t="n">
        <f aca="false">MIN(1,B18/Inputs!$B$25)*(AD19*Y18)+(1-MIN(1,B18/Inputs!$B$25))*Inputs!$B$12*Inputs!$B$13</f>
        <v>1130.30195696633</v>
      </c>
      <c r="AG18" s="19" t="n">
        <f aca="false">AF18/AE18</f>
        <v>65.0692765106529</v>
      </c>
      <c r="AH18" s="73" t="n">
        <f aca="false">IF(AND(Inputs!$B$19="Yes",A18&gt;=$B$5),1,0)</f>
        <v>1</v>
      </c>
      <c r="AI18" s="22" t="n">
        <f aca="false">(AA18+AF18)*(1+IF(AH18=1,$B$70*MIN(1,(A18-$B$5+1)/3),0))</f>
        <v>1486.79168571582</v>
      </c>
      <c r="AJ18" s="75" t="n">
        <f aca="false">AE18+Z18*$B$4</f>
        <v>28.0754500215843</v>
      </c>
      <c r="AK18" s="58" t="n">
        <f aca="false">IF(AH18=1,Z18*$B$4/AJ18,1)</f>
        <v>0.38128338988725</v>
      </c>
      <c r="AL18" s="79" t="n">
        <f aca="false">IF(AH18=1,$B$4*AI18/AJ18,AB18)</f>
        <v>123.677374691169</v>
      </c>
      <c r="AM18" s="19" t="n">
        <f aca="false">AL18*Holdings!$D$15</f>
        <v>45572.6390262019</v>
      </c>
      <c r="AN18" s="80" t="n">
        <f aca="false">AM18/Inputs!$B$14</f>
        <v>34449.0430313719</v>
      </c>
      <c r="AO18" s="21" t="n">
        <f aca="false">AN18/(1+Inputs!$B$17)^B18</f>
        <v>26911.5373570885</v>
      </c>
      <c r="AP18" s="20" t="n">
        <f aca="false">AL18/Inputs!$B$9</f>
        <v>0.329806332509784</v>
      </c>
    </row>
    <row r="19" customFormat="false" ht="15" hidden="false" customHeight="false" outlineLevel="0" collapsed="false">
      <c r="A19" s="73" t="n">
        <v>2037</v>
      </c>
      <c r="B19" s="73" t="n">
        <f aca="false">A19-2026</f>
        <v>11</v>
      </c>
      <c r="C19" s="74" t="n">
        <f aca="false">MIN(1,B19/Inputs!$B$27)</f>
        <v>1</v>
      </c>
      <c r="D19" s="75" t="n">
        <f aca="false">Inputs!$B$30+($B$33-Inputs!$B$30)*((1/(1+EXP(-$B$35*($A19-$B$34))))-(1/(1+EXP(-$B$35*(2026-$B$34)))))/(1-(1/(1+EXP(-$B$35*(2026-$B$34)))))</f>
        <v>2.54999252335353</v>
      </c>
      <c r="E19" s="76" t="n">
        <f aca="false">E18-J18+D19+J19</f>
        <v>34.5583729158169</v>
      </c>
      <c r="F19" s="76" t="n">
        <f aca="false">MAX($B$37,Inputs!$B$32*(1+$B$36)^B19)</f>
        <v>37.1565375517367</v>
      </c>
      <c r="G19" s="24" t="n">
        <f aca="false">D19*F19</f>
        <v>94.7488929506333</v>
      </c>
      <c r="H19" s="75" t="n">
        <f aca="false">Inputs!$B$34+($B$39-Inputs!$B$34)*((1/(1+EXP(-$B$41*($A19-$B$40))))-(1/(1+EXP(-$B$41*(2026-$B$40)))))/(1-(1/(1+EXP(-$B$41*(2026-$B$40)))))</f>
        <v>5.64509069691479</v>
      </c>
      <c r="I19" s="24" t="n">
        <f aca="false">H19*$B$42*12/1000</f>
        <v>4.06446530177865</v>
      </c>
      <c r="J19" s="77" t="n">
        <f aca="false">Inputs!$B$35+($B$44-Inputs!$B$35)*((1/(1+EXP(-$B$46*($A19-$B$45))))-(1/(1+EXP(-$B$46*(2026-$B$45)))))/(1-(1/(1+EXP(-$B$46*(2026-$B$45)))))</f>
        <v>0.326101848374389</v>
      </c>
      <c r="K19" s="77" t="n">
        <f aca="false">(J19+J18)/2</f>
        <v>0.289498117534019</v>
      </c>
      <c r="L19" s="75" t="n">
        <f aca="false">MAX($B$48,Inputs!$B$36*(1-Inputs!$B$37)^B19)</f>
        <v>1.1</v>
      </c>
      <c r="M19" s="24" t="n">
        <f aca="false">K19*$B$47*L19</f>
        <v>12.7379171714968</v>
      </c>
      <c r="N19" s="77" t="n">
        <f aca="false">Inputs!$B$39+($B$50-Inputs!$B$39)*((1/(1+EXP(-$B$52*($A19-$B$51))))-(1/(1+EXP(-$B$52*(2026-$B$51)))))/(1-(1/(1+EXP(-$B$52*(2026-$B$51)))))</f>
        <v>0.130585885202144</v>
      </c>
      <c r="O19" s="75" t="n">
        <f aca="false">O18+N19</f>
        <v>0.501891497899524</v>
      </c>
      <c r="P19" s="76" t="n">
        <f aca="false">MAX($B$53,Inputs!$B$40*(1-Inputs!$B$41)^B19)</f>
        <v>30</v>
      </c>
      <c r="Q19" s="24" t="n">
        <f aca="false">N19*P19</f>
        <v>3.91757655606432</v>
      </c>
      <c r="R19" s="22" t="n">
        <f aca="false">Inputs!$B$43+($B$55-Inputs!$B$43)*((1/(1+EXP(-$B$57*($A19-$B$56))))-(1/(1+EXP(-$B$57*(2026-$B$56)))))/(1-(1/(1+EXP(-$B$57*(2026-$B$56)))))</f>
        <v>138.234691945554</v>
      </c>
      <c r="S19" s="73" t="n">
        <f aca="false">MAX($B$58,Inputs!$B$44*(1-Inputs!$B$45)^B19)</f>
        <v>156.368635985201</v>
      </c>
      <c r="T19" s="24" t="n">
        <f aca="false">R19*S19/1000</f>
        <v>21.6155702253608</v>
      </c>
      <c r="U19" s="24" t="n">
        <f aca="false">U18*(1+$B$60*Inputs!$B$48^(B19-1))</f>
        <v>27.7500900531284</v>
      </c>
      <c r="V19" s="78" t="n">
        <f aca="false">G19+I19+M19+Q19+T19+U19</f>
        <v>164.834512258462</v>
      </c>
      <c r="W19" s="24" t="n">
        <f aca="false">G19*(Inputs!$B$33+($B$38-Inputs!$B$33)*C19)+I19*$B$43+M19*(Inputs!$B$38+($B$49-Inputs!$B$38)*C19)+Q19*(Inputs!$B$42+($B$54-Inputs!$B$42)*C19)+T19*(Inputs!$B$46+($B$59-Inputs!$B$46)*C19)+U19*$B$61-V19*Inputs!$B$49</f>
        <v>23.0703093173974</v>
      </c>
      <c r="X19" s="24" t="n">
        <f aca="false">(W19-V19*(Inputs!$B$50+Inputs!$B$51))*(1-Inputs!$B$52)</f>
        <v>5.20361789232544</v>
      </c>
      <c r="Y19" s="76" t="n">
        <f aca="false">$B$62+($B$63-$B$62)*MIN(1,MAX(0,(A19-2027)/(Inputs!$B$26-2027)))</f>
        <v>12.9090909090909</v>
      </c>
      <c r="Z19" s="77" t="n">
        <f aca="false">Inputs!$B$11*(1+$B$64)^B19</f>
        <v>4.65236515597532</v>
      </c>
      <c r="AA19" s="22" t="n">
        <f aca="false">MIN(1,B19/Inputs!$B$25)*(W20*Y19+Inputs!$B$28)+(1-MIN(1,B19/Inputs!$B$25))*Inputs!$B$9*Inputs!$B$11</f>
        <v>363.4185230843</v>
      </c>
      <c r="AB19" s="79" t="n">
        <f aca="false">AA19/Z19</f>
        <v>78.1147891234502</v>
      </c>
      <c r="AC19" s="22" t="n">
        <f aca="false">Inputs!$B$53+($B$65-Inputs!$B$53)*((1/(1+EXP(-$B$67*($A19-$B$66))))-(1/(1+EXP(-$B$67*(2026-$B$66)))))/(1-(1/(1+EXP(-$B$67*(2026-$B$66)))))</f>
        <v>272.66055979451</v>
      </c>
      <c r="AD19" s="22" t="n">
        <f aca="false">AC19*(Inputs!$B$54+($B$68-Inputs!$B$54)*C19)</f>
        <v>81.798167938353</v>
      </c>
      <c r="AE19" s="75" t="n">
        <f aca="false">Inputs!$B$13*(1+$B$69)^B19</f>
        <v>17.8050159463632</v>
      </c>
      <c r="AF19" s="22" t="n">
        <f aca="false">MIN(1,B19/Inputs!$B$25)*(AD20*Y19)+(1-MIN(1,B19/Inputs!$B$25))*Inputs!$B$12*Inputs!$B$13</f>
        <v>1163.82150970012</v>
      </c>
      <c r="AG19" s="19" t="n">
        <f aca="false">AF19/AE19</f>
        <v>65.3648114220221</v>
      </c>
      <c r="AH19" s="73" t="n">
        <f aca="false">IF(AND(Inputs!$B$19="Yes",A19&gt;=$B$5),1,0)</f>
        <v>1</v>
      </c>
      <c r="AI19" s="22" t="n">
        <f aca="false">(AA19+AF19)*(1+IF(AH19=1,$B$70*MIN(1,(A19-$B$5+1)/3),0))</f>
        <v>1527.24003278442</v>
      </c>
      <c r="AJ19" s="75" t="n">
        <f aca="false">AE19+Z19*$B$4</f>
        <v>28.6702892445555</v>
      </c>
      <c r="AK19" s="58" t="n">
        <f aca="false">IF(AH19=1,Z19*$B$4/AJ19,1)</f>
        <v>0.378973271093024</v>
      </c>
      <c r="AL19" s="79" t="n">
        <f aca="false">IF(AH19=1,$B$4*AI19/AJ19,AB19)</f>
        <v>124.40621738927</v>
      </c>
      <c r="AM19" s="19" t="n">
        <f aca="false">AL19*Holdings!$D$15</f>
        <v>45841.2029835982</v>
      </c>
      <c r="AN19" s="80" t="n">
        <f aca="false">AM19/Inputs!$B$14</f>
        <v>34652.0545646672</v>
      </c>
      <c r="AO19" s="21" t="n">
        <f aca="false">AN19/(1+Inputs!$B$17)^B19</f>
        <v>26409.8825779812</v>
      </c>
      <c r="AP19" s="20" t="n">
        <f aca="false">AL19/Inputs!$B$9</f>
        <v>0.331749913038053</v>
      </c>
    </row>
    <row r="20" customFormat="false" ht="15" hidden="false" customHeight="false" outlineLevel="0" collapsed="false">
      <c r="A20" s="73" t="n">
        <v>2038</v>
      </c>
      <c r="B20" s="73" t="n">
        <f aca="false">A20-2026</f>
        <v>12</v>
      </c>
      <c r="C20" s="74" t="n">
        <f aca="false">MIN(1,B20/Inputs!$B$27)</f>
        <v>1</v>
      </c>
      <c r="D20" s="75" t="n">
        <f aca="false">Inputs!$B$30+($B$33-Inputs!$B$30)*((1/(1+EXP(-$B$35*($A20-$B$34))))-(1/(1+EXP(-$B$35*(2026-$B$34)))))/(1-(1/(1+EXP(-$B$35*(2026-$B$34)))))</f>
        <v>2.63291322173207</v>
      </c>
      <c r="E20" s="76" t="n">
        <f aca="false">E19-J19+D20+J20</f>
        <v>37.2735534353792</v>
      </c>
      <c r="F20" s="76" t="n">
        <f aca="false">MAX($B$37,Inputs!$B$32*(1+$B$36)^B20)</f>
        <v>36.7849721762194</v>
      </c>
      <c r="G20" s="24" t="n">
        <f aca="false">D20*F20</f>
        <v>96.8516396038144</v>
      </c>
      <c r="H20" s="75" t="n">
        <f aca="false">Inputs!$B$34+($B$39-Inputs!$B$34)*((1/(1+EXP(-$B$41*($A20-$B$40))))-(1/(1+EXP(-$B$41*(2026-$B$40)))))/(1-(1/(1+EXP(-$B$41*(2026-$B$40)))))</f>
        <v>6.29347151493113</v>
      </c>
      <c r="I20" s="24" t="n">
        <f aca="false">H20*$B$42*12/1000</f>
        <v>4.53129949075042</v>
      </c>
      <c r="J20" s="77" t="n">
        <f aca="false">Inputs!$B$35+($B$44-Inputs!$B$35)*((1/(1+EXP(-$B$46*($A20-$B$45))))-(1/(1+EXP(-$B$46*(2026-$B$45)))))/(1-(1/(1+EXP(-$B$46*(2026-$B$45)))))</f>
        <v>0.408369146204628</v>
      </c>
      <c r="K20" s="77" t="n">
        <f aca="false">(J20+J19)/2</f>
        <v>0.367235497289508</v>
      </c>
      <c r="L20" s="75" t="n">
        <f aca="false">MAX($B$48,Inputs!$B$36*(1-Inputs!$B$37)^B20)</f>
        <v>1.1</v>
      </c>
      <c r="M20" s="24" t="n">
        <f aca="false">K20*$B$47*L20</f>
        <v>16.1583618807384</v>
      </c>
      <c r="N20" s="77" t="n">
        <f aca="false">Inputs!$B$39+($B$50-Inputs!$B$39)*((1/(1+EXP(-$B$52*($A20-$B$51))))-(1/(1+EXP(-$B$52*(2026-$B$51)))))/(1-(1/(1+EXP(-$B$52*(2026-$B$51)))))</f>
        <v>0.166784073479307</v>
      </c>
      <c r="O20" s="75" t="n">
        <f aca="false">O19+N20</f>
        <v>0.66867557137883</v>
      </c>
      <c r="P20" s="76" t="n">
        <f aca="false">MAX($B$53,Inputs!$B$40*(1-Inputs!$B$41)^B20)</f>
        <v>30</v>
      </c>
      <c r="Q20" s="24" t="n">
        <f aca="false">N20*P20</f>
        <v>5.00352220437921</v>
      </c>
      <c r="R20" s="22" t="n">
        <f aca="false">Inputs!$B$43+($B$55-Inputs!$B$43)*((1/(1+EXP(-$B$57*($A20-$B$56))))-(1/(1+EXP(-$B$57*(2026-$B$56)))))/(1-(1/(1+EXP(-$B$57*(2026-$B$56)))))</f>
        <v>147.513928661142</v>
      </c>
      <c r="S20" s="73" t="n">
        <f aca="false">MAX($B$58,Inputs!$B$44*(1-Inputs!$B$45)^B20)</f>
        <v>150.113890545793</v>
      </c>
      <c r="T20" s="24" t="n">
        <f aca="false">R20*S20/1000</f>
        <v>22.1438897410185</v>
      </c>
      <c r="U20" s="24" t="n">
        <f aca="false">U19*(1+$B$60*Inputs!$B$48^(B20-1))</f>
        <v>28.4995148886741</v>
      </c>
      <c r="V20" s="78" t="n">
        <f aca="false">G20+I20+M20+Q20+T20+U20</f>
        <v>173.188227809375</v>
      </c>
      <c r="W20" s="24" t="n">
        <f aca="false">G20*(Inputs!$B$33+($B$38-Inputs!$B$33)*C20)+I20*$B$43+M20*(Inputs!$B$38+($B$49-Inputs!$B$38)*C20)+Q20*(Inputs!$B$42+($B$54-Inputs!$B$42)*C20)+T20*(Inputs!$B$46+($B$59-Inputs!$B$46)*C20)+U20*$B$61-V20*Inputs!$B$49</f>
        <v>25.2317165769528</v>
      </c>
      <c r="X20" s="24" t="n">
        <f aca="false">(W20-V20*(Inputs!$B$50+Inputs!$B$51))*(1-Inputs!$B$52)</f>
        <v>6.25118609885207</v>
      </c>
      <c r="Y20" s="76" t="n">
        <f aca="false">$B$62+($B$63-$B$62)*MIN(1,MAX(0,(A20-2027)/(Inputs!$B$26-2027)))</f>
        <v>12</v>
      </c>
      <c r="Z20" s="77" t="n">
        <f aca="false">Inputs!$B$11*(1+$B$64)^B20</f>
        <v>4.72215063331495</v>
      </c>
      <c r="AA20" s="22" t="n">
        <f aca="false">MIN(1,B20/Inputs!$B$25)*(W21*Y20+Inputs!$B$28)+(1-MIN(1,B20/Inputs!$B$25))*Inputs!$B$9*Inputs!$B$11</f>
        <v>367.113980842733</v>
      </c>
      <c r="AB20" s="79" t="n">
        <f aca="false">AA20/Z20</f>
        <v>77.7429627620793</v>
      </c>
      <c r="AC20" s="22" t="n">
        <f aca="false">Inputs!$B$53+($B$65-Inputs!$B$53)*((1/(1+EXP(-$B$67*($A20-$B$66))))-(1/(1+EXP(-$B$67*(2026-$B$66)))))/(1-(1/(1+EXP(-$B$67*(2026-$B$66)))))</f>
        <v>300.517291237121</v>
      </c>
      <c r="AD20" s="22" t="n">
        <f aca="false">AC20*(Inputs!$B$54+($B$68-Inputs!$B$54)*C20)</f>
        <v>90.1551873711364</v>
      </c>
      <c r="AE20" s="75" t="n">
        <f aca="false">Inputs!$B$13*(1+$B$69)^B20</f>
        <v>18.2501413450223</v>
      </c>
      <c r="AF20" s="22" t="n">
        <f aca="false">MIN(1,B20/Inputs!$B$25)*(AD21*Y20)+(1-MIN(1,B20/Inputs!$B$25))*Inputs!$B$12*Inputs!$B$13</f>
        <v>1166.70309646805</v>
      </c>
      <c r="AG20" s="19" t="n">
        <f aca="false">AF20/AE20</f>
        <v>63.92844167129</v>
      </c>
      <c r="AH20" s="73" t="n">
        <f aca="false">IF(AND(Inputs!$B$19="Yes",A20&gt;=$B$5),1,0)</f>
        <v>1</v>
      </c>
      <c r="AI20" s="22" t="n">
        <f aca="false">(AA20+AF20)*(1+IF(AH20=1,$B$70*MIN(1,(A20-$B$5+1)/3),0))</f>
        <v>1533.81707731079</v>
      </c>
      <c r="AJ20" s="75" t="n">
        <f aca="false">AE20+Z20*$B$4</f>
        <v>29.2783937426875</v>
      </c>
      <c r="AK20" s="58" t="n">
        <f aca="false">IF(AH20=1,Z20*$B$4/AJ20,1)</f>
        <v>0.376668627882622</v>
      </c>
      <c r="AL20" s="79" t="n">
        <f aca="false">IF(AH20=1,$B$4*AI20/AJ20,AB20)</f>
        <v>122.346959848677</v>
      </c>
      <c r="AM20" s="19" t="n">
        <f aca="false">AL20*Holdings!$D$15</f>
        <v>45082.4077650403</v>
      </c>
      <c r="AN20" s="80" t="n">
        <f aca="false">AM20/Inputs!$B$14</f>
        <v>34078.4698503593</v>
      </c>
      <c r="AO20" s="21" t="n">
        <f aca="false">AN20/(1+Inputs!$B$17)^B20</f>
        <v>25339.2468105738</v>
      </c>
      <c r="AP20" s="20" t="n">
        <f aca="false">AL20/Inputs!$B$9</f>
        <v>0.326258559596471</v>
      </c>
    </row>
    <row r="21" customFormat="false" ht="15" hidden="false" customHeight="false" outlineLevel="0" collapsed="false">
      <c r="A21" s="73" t="n">
        <v>2039</v>
      </c>
      <c r="B21" s="73" t="n">
        <f aca="false">A21-2026</f>
        <v>13</v>
      </c>
      <c r="C21" s="74" t="n">
        <f aca="false">MIN(1,B21/Inputs!$B$27)</f>
        <v>1</v>
      </c>
      <c r="D21" s="75" t="n">
        <f aca="false">Inputs!$B$30+($B$33-Inputs!$B$30)*((1/(1+EXP(-$B$35*($A21-$B$34))))-(1/(1+EXP(-$B$35*(2026-$B$34)))))/(1-(1/(1+EXP(-$B$35*(2026-$B$34)))))</f>
        <v>2.70603236373615</v>
      </c>
      <c r="E21" s="76" t="n">
        <f aca="false">E20-J20+D21+J21</f>
        <v>40.0669436179232</v>
      </c>
      <c r="F21" s="76" t="n">
        <f aca="false">MAX($B$37,Inputs!$B$32*(1+$B$36)^B21)</f>
        <v>36.4171224544572</v>
      </c>
      <c r="G21" s="24" t="n">
        <f aca="false">D21*F21</f>
        <v>98.5459119559037</v>
      </c>
      <c r="H21" s="75" t="n">
        <f aca="false">Inputs!$B$34+($B$39-Inputs!$B$34)*((1/(1+EXP(-$B$41*($A21-$B$40))))-(1/(1+EXP(-$B$41*(2026-$B$40)))))/(1-(1/(1+EXP(-$B$41*(2026-$B$40)))))</f>
        <v>6.91373070298628</v>
      </c>
      <c r="I21" s="24" t="n">
        <f aca="false">H21*$B$42*12/1000</f>
        <v>4.97788610615012</v>
      </c>
      <c r="J21" s="77" t="n">
        <f aca="false">Inputs!$B$35+($B$44-Inputs!$B$35)*((1/(1+EXP(-$B$46*($A21-$B$45))))-(1/(1+EXP(-$B$46*(2026-$B$45)))))/(1-(1/(1+EXP(-$B$46*(2026-$B$45)))))</f>
        <v>0.495726965012458</v>
      </c>
      <c r="K21" s="77" t="n">
        <f aca="false">(J21+J20)/2</f>
        <v>0.452048055608543</v>
      </c>
      <c r="L21" s="75" t="n">
        <f aca="false">MAX($B$48,Inputs!$B$36*(1-Inputs!$B$37)^B21)</f>
        <v>1.1</v>
      </c>
      <c r="M21" s="24" t="n">
        <f aca="false">K21*$B$47*L21</f>
        <v>19.8901144467759</v>
      </c>
      <c r="N21" s="77" t="n">
        <f aca="false">Inputs!$B$39+($B$50-Inputs!$B$39)*((1/(1+EXP(-$B$52*($A21-$B$51))))-(1/(1+EXP(-$B$52*(2026-$B$51)))))/(1-(1/(1+EXP(-$B$52*(2026-$B$51)))))</f>
        <v>0.207461991652447</v>
      </c>
      <c r="O21" s="75" t="n">
        <f aca="false">O20+N21</f>
        <v>0.876137563031277</v>
      </c>
      <c r="P21" s="76" t="n">
        <f aca="false">MAX($B$53,Inputs!$B$40*(1-Inputs!$B$41)^B21)</f>
        <v>30</v>
      </c>
      <c r="Q21" s="24" t="n">
        <f aca="false">N21*P21</f>
        <v>6.2238597495734</v>
      </c>
      <c r="R21" s="22" t="n">
        <f aca="false">Inputs!$B$43+($B$55-Inputs!$B$43)*((1/(1+EXP(-$B$57*($A21-$B$56))))-(1/(1+EXP(-$B$57*(2026-$B$56)))))/(1-(1/(1+EXP(-$B$57*(2026-$B$56)))))</f>
        <v>156.001429482026</v>
      </c>
      <c r="S21" s="73" t="n">
        <f aca="false">MAX($B$58,Inputs!$B$44*(1-Inputs!$B$45)^B21)</f>
        <v>144.109334923961</v>
      </c>
      <c r="T21" s="24" t="n">
        <f aca="false">R21*S21/1000</f>
        <v>22.481262249842</v>
      </c>
      <c r="U21" s="24" t="n">
        <f aca="false">U20*(1+$B$60*Inputs!$B$48^(B21-1))</f>
        <v>29.2153023734155</v>
      </c>
      <c r="V21" s="78" t="n">
        <f aca="false">G21+I21+M21+Q21+T21+U21</f>
        <v>181.334336881661</v>
      </c>
      <c r="W21" s="24" t="n">
        <f aca="false">G21*(Inputs!$B$33+($B$38-Inputs!$B$33)*C21)+I21*$B$43+M21*(Inputs!$B$38+($B$49-Inputs!$B$38)*C21)+Q21*(Inputs!$B$42+($B$54-Inputs!$B$42)*C21)+T21*(Inputs!$B$46+($B$59-Inputs!$B$46)*C21)+U21*$B$61-V21*Inputs!$B$49</f>
        <v>27.4511650702277</v>
      </c>
      <c r="X21" s="24" t="n">
        <f aca="false">(W21-V21*(Inputs!$B$50+Inputs!$B$51))*(1-Inputs!$B$52)</f>
        <v>7.36100779182872</v>
      </c>
      <c r="Y21" s="76" t="n">
        <f aca="false">$B$62+($B$63-$B$62)*MIN(1,MAX(0,(A21-2027)/(Inputs!$B$26-2027)))</f>
        <v>12</v>
      </c>
      <c r="Z21" s="77" t="n">
        <f aca="false">Inputs!$B$11*(1+$B$64)^B21</f>
        <v>4.79298289281467</v>
      </c>
      <c r="AA21" s="22" t="n">
        <f aca="false">MIN(1,B21/Inputs!$B$25)*(W22*Y21+Inputs!$B$28)+(1-MIN(1,B21/Inputs!$B$25))*Inputs!$B$9*Inputs!$B$11</f>
        <v>393.764363917452</v>
      </c>
      <c r="AB21" s="79" t="n">
        <f aca="false">AA21/Z21</f>
        <v>82.1543436985261</v>
      </c>
      <c r="AC21" s="22" t="n">
        <f aca="false">Inputs!$B$53+($B$65-Inputs!$B$53)*((1/(1+EXP(-$B$67*($A21-$B$66))))-(1/(1+EXP(-$B$67*(2026-$B$66)))))/(1-(1/(1+EXP(-$B$67*(2026-$B$66)))))</f>
        <v>324.084193463348</v>
      </c>
      <c r="AD21" s="22" t="n">
        <f aca="false">AC21*(Inputs!$B$54+($B$68-Inputs!$B$54)*C21)</f>
        <v>97.2252580390043</v>
      </c>
      <c r="AE21" s="75" t="n">
        <f aca="false">Inputs!$B$13*(1+$B$69)^B21</f>
        <v>18.7063948786478</v>
      </c>
      <c r="AF21" s="22" t="n">
        <f aca="false">MIN(1,B21/Inputs!$B$25)*(AD22*Y21)+(1-MIN(1,B21/Inputs!$B$25))*Inputs!$B$12*Inputs!$B$13</f>
        <v>1235.4623589362</v>
      </c>
      <c r="AG21" s="19" t="n">
        <f aca="false">AF21/AE21</f>
        <v>66.0449203040401</v>
      </c>
      <c r="AH21" s="73" t="n">
        <f aca="false">IF(AND(Inputs!$B$19="Yes",A21&gt;=$B$5),1,0)</f>
        <v>1</v>
      </c>
      <c r="AI21" s="22" t="n">
        <f aca="false">(AA21+AF21)*(1+IF(AH21=1,$B$70*MIN(1,(A21-$B$5+1)/3),0))</f>
        <v>1629.22672285365</v>
      </c>
      <c r="AJ21" s="75" t="n">
        <f aca="false">AE21+Z21*$B$4</f>
        <v>29.900071062278</v>
      </c>
      <c r="AK21" s="58" t="n">
        <f aca="false">IF(AH21=1,Z21*$B$4/AJ21,1)</f>
        <v>0.374369551173146</v>
      </c>
      <c r="AL21" s="79" t="n">
        <f aca="false">IF(AH21=1,$B$4*AI21/AJ21,AB21)</f>
        <v>127.255383679418</v>
      </c>
      <c r="AM21" s="19" t="n">
        <f aca="false">AL21*Holdings!$D$15</f>
        <v>46891.0637781919</v>
      </c>
      <c r="AN21" s="80" t="n">
        <f aca="false">AM21/Inputs!$B$14</f>
        <v>35445.6601241152</v>
      </c>
      <c r="AO21" s="21" t="n">
        <f aca="false">AN21/(1+Inputs!$B$17)^B21</f>
        <v>25713.0040825382</v>
      </c>
      <c r="AP21" s="20" t="n">
        <f aca="false">AL21/Inputs!$B$9</f>
        <v>0.339347689811781</v>
      </c>
    </row>
    <row r="22" customFormat="false" ht="15" hidden="false" customHeight="false" outlineLevel="0" collapsed="false">
      <c r="A22" s="73" t="n">
        <v>2040</v>
      </c>
      <c r="B22" s="73" t="n">
        <f aca="false">A22-2026</f>
        <v>14</v>
      </c>
      <c r="C22" s="74" t="n">
        <f aca="false">MIN(1,B22/Inputs!$B$27)</f>
        <v>1</v>
      </c>
      <c r="D22" s="75" t="n">
        <f aca="false">Inputs!$B$30+($B$33-Inputs!$B$30)*((1/(1+EXP(-$B$35*($A22-$B$34))))-(1/(1+EXP(-$B$35*(2026-$B$34)))))/(1-(1/(1+EXP(-$B$35*(2026-$B$34)))))</f>
        <v>2.76832422564201</v>
      </c>
      <c r="E22" s="76" t="n">
        <f aca="false">E21-J21+D22+J22</f>
        <v>42.922625662373</v>
      </c>
      <c r="F22" s="76" t="n">
        <f aca="false">MAX($B$37,Inputs!$B$32*(1+$B$36)^B22)</f>
        <v>36.0529512299126</v>
      </c>
      <c r="G22" s="24" t="n">
        <f aca="false">D22*F22</f>
        <v>99.8062582956569</v>
      </c>
      <c r="H22" s="75" t="n">
        <f aca="false">Inputs!$B$34+($B$39-Inputs!$B$34)*((1/(1+EXP(-$B$41*($A22-$B$40))))-(1/(1+EXP(-$B$41*(2026-$B$40)))))/(1-(1/(1+EXP(-$B$41*(2026-$B$40)))))</f>
        <v>7.48242259984045</v>
      </c>
      <c r="I22" s="24" t="n">
        <f aca="false">H22*$B$42*12/1000</f>
        <v>5.38734427188512</v>
      </c>
      <c r="J22" s="77" t="n">
        <f aca="false">Inputs!$B$35+($B$44-Inputs!$B$35)*((1/(1+EXP(-$B$46*($A22-$B$45))))-(1/(1+EXP(-$B$46*(2026-$B$45)))))/(1-(1/(1+EXP(-$B$46*(2026-$B$45)))))</f>
        <v>0.583084783820288</v>
      </c>
      <c r="K22" s="77" t="n">
        <f aca="false">(J22+J21)/2</f>
        <v>0.539405874416373</v>
      </c>
      <c r="L22" s="75" t="n">
        <f aca="false">MAX($B$48,Inputs!$B$36*(1-Inputs!$B$37)^B22)</f>
        <v>1.1</v>
      </c>
      <c r="M22" s="24" t="n">
        <f aca="false">K22*$B$47*L22</f>
        <v>23.7338584743204</v>
      </c>
      <c r="N22" s="77" t="n">
        <f aca="false">Inputs!$B$39+($B$50-Inputs!$B$39)*((1/(1+EXP(-$B$52*($A22-$B$51))))-(1/(1+EXP(-$B$52*(2026-$B$51)))))/(1-(1/(1+EXP(-$B$52*(2026-$B$51)))))</f>
        <v>0.250656970689946</v>
      </c>
      <c r="O22" s="75" t="n">
        <f aca="false">O21+N22</f>
        <v>1.12679453372122</v>
      </c>
      <c r="P22" s="76" t="n">
        <f aca="false">MAX($B$53,Inputs!$B$40*(1-Inputs!$B$41)^B22)</f>
        <v>30</v>
      </c>
      <c r="Q22" s="24" t="n">
        <f aca="false">N22*P22</f>
        <v>7.51970912069839</v>
      </c>
      <c r="R22" s="22" t="n">
        <f aca="false">Inputs!$B$43+($B$55-Inputs!$B$43)*((1/(1+EXP(-$B$57*($A22-$B$56))))-(1/(1+EXP(-$B$57*(2026-$B$56)))))/(1-(1/(1+EXP(-$B$57*(2026-$B$56)))))</f>
        <v>163.566461006437</v>
      </c>
      <c r="S22" s="73" t="n">
        <f aca="false">MAX($B$58,Inputs!$B$44*(1-Inputs!$B$45)^B22)</f>
        <v>140</v>
      </c>
      <c r="T22" s="24" t="n">
        <f aca="false">R22*S22/1000</f>
        <v>22.8993045409012</v>
      </c>
      <c r="U22" s="24" t="n">
        <f aca="false">U21*(1+$B$60*Inputs!$B$48^(B22-1))</f>
        <v>29.897703864517</v>
      </c>
      <c r="V22" s="78" t="n">
        <f aca="false">G22+I22+M22+Q22+T22+U22</f>
        <v>189.244178567979</v>
      </c>
      <c r="W22" s="24" t="n">
        <f aca="false">G22*(Inputs!$B$33+($B$38-Inputs!$B$33)*C22)+I22*$B$43+M22*(Inputs!$B$38+($B$49-Inputs!$B$38)*C22)+Q22*(Inputs!$B$42+($B$54-Inputs!$B$42)*C22)+T22*(Inputs!$B$46+($B$59-Inputs!$B$46)*C22)+U22*$B$61-V22*Inputs!$B$49</f>
        <v>29.6720303264544</v>
      </c>
      <c r="X22" s="24" t="n">
        <f aca="false">(W22-V22*(Inputs!$B$50+Inputs!$B$51))*(1-Inputs!$B$52)</f>
        <v>8.4906138510286</v>
      </c>
      <c r="Y22" s="76" t="n">
        <f aca="false">$B$62+($B$63-$B$62)*MIN(1,MAX(0,(A22-2027)/(Inputs!$B$26-2027)))</f>
        <v>12</v>
      </c>
      <c r="Z22" s="77" t="n">
        <f aca="false">Inputs!$B$11*(1+$B$64)^B22</f>
        <v>4.86487763620689</v>
      </c>
      <c r="AA22" s="22" t="n">
        <f aca="false">MIN(1,B22/Inputs!$B$25)*(W23*Y22+Inputs!$B$28)+(1-MIN(1,B22/Inputs!$B$25))*Inputs!$B$9*Inputs!$B$11</f>
        <v>419.985275001548</v>
      </c>
      <c r="AB22" s="79" t="n">
        <f aca="false">AA22/Z22</f>
        <v>86.3300798926174</v>
      </c>
      <c r="AC22" s="22" t="n">
        <f aca="false">Inputs!$B$53+($B$65-Inputs!$B$53)*((1/(1+EXP(-$B$67*($A22-$B$66))))-(1/(1+EXP(-$B$67*(2026-$B$66)))))/(1-(1/(1+EXP(-$B$67*(2026-$B$66)))))</f>
        <v>343.183988593388</v>
      </c>
      <c r="AD22" s="22" t="n">
        <f aca="false">AC22*(Inputs!$B$54+($B$68-Inputs!$B$54)*C22)</f>
        <v>102.955196578017</v>
      </c>
      <c r="AE22" s="75" t="n">
        <f aca="false">Inputs!$B$13*(1+$B$69)^B22</f>
        <v>19.174054750614</v>
      </c>
      <c r="AF22" s="22" t="n">
        <f aca="false">MIN(1,B22/Inputs!$B$25)*(AD23*Y22)+(1-MIN(1,B22/Inputs!$B$25))*Inputs!$B$12*Inputs!$B$13</f>
        <v>1289.27505044619</v>
      </c>
      <c r="AG22" s="19" t="n">
        <f aca="false">AF22/AE22</f>
        <v>67.2406054543523</v>
      </c>
      <c r="AH22" s="73" t="n">
        <f aca="false">IF(AND(Inputs!$B$19="Yes",A22&gt;=$B$5),1,0)</f>
        <v>1</v>
      </c>
      <c r="AI22" s="22" t="n">
        <f aca="false">(AA22+AF22)*(1+IF(AH22=1,$B$70*MIN(1,(A22-$B$5+1)/3),0))</f>
        <v>1709.26032544773</v>
      </c>
      <c r="AJ22" s="75" t="n">
        <f aca="false">AE22+Z22*$B$4</f>
        <v>30.5356360769987</v>
      </c>
      <c r="AK22" s="58" t="n">
        <f aca="false">IF(AH22=1,Z22*$B$4/AJ22,1)</f>
        <v>0.372076130909318</v>
      </c>
      <c r="AL22" s="79" t="n">
        <f aca="false">IF(AH22=1,$B$4*AI22/AJ22,AB22)</f>
        <v>130.727844802539</v>
      </c>
      <c r="AM22" s="19" t="n">
        <f aca="false">AL22*Holdings!$D$15</f>
        <v>48170.5962528394</v>
      </c>
      <c r="AN22" s="80" t="n">
        <f aca="false">AM22/Inputs!$B$14</f>
        <v>36412.8779596639</v>
      </c>
      <c r="AO22" s="21" t="n">
        <f aca="false">AN22/(1+Inputs!$B$17)^B22</f>
        <v>25770.3840079426</v>
      </c>
      <c r="AP22" s="20" t="n">
        <f aca="false">AL22/Inputs!$B$9</f>
        <v>0.348607586140103</v>
      </c>
    </row>
    <row r="23" customFormat="false" ht="15" hidden="false" customHeight="false" outlineLevel="0" collapsed="false">
      <c r="A23" s="73" t="n">
        <v>2041</v>
      </c>
      <c r="B23" s="73" t="n">
        <f aca="false">A23-2026</f>
        <v>15</v>
      </c>
      <c r="C23" s="74" t="n">
        <f aca="false">MIN(1,B23/Inputs!$B$27)</f>
        <v>1</v>
      </c>
      <c r="D23" s="75" t="n">
        <f aca="false">Inputs!$B$30+($B$33-Inputs!$B$30)*((1/(1+EXP(-$B$35*($A23-$B$34))))-(1/(1+EXP(-$B$35*(2026-$B$34)))))/(1-(1/(1+EXP(-$B$35*(2026-$B$34)))))</f>
        <v>2.81985275624473</v>
      </c>
      <c r="E23" s="76" t="n">
        <f aca="false">E22-J22+D23+J23</f>
        <v>45.824745716448</v>
      </c>
      <c r="F23" s="76" t="n">
        <f aca="false">MAX($B$37,Inputs!$B$32*(1+$B$36)^B23)</f>
        <v>35.6924217176135</v>
      </c>
      <c r="G23" s="24" t="n">
        <f aca="false">D23*F23</f>
        <v>100.647373757462</v>
      </c>
      <c r="H23" s="75" t="n">
        <f aca="false">Inputs!$B$34+($B$39-Inputs!$B$34)*((1/(1+EXP(-$B$41*($A23-$B$40))))-(1/(1+EXP(-$B$41*(2026-$B$40)))))/(1-(1/(1+EXP(-$B$41*(2026-$B$40)))))</f>
        <v>7.98389285245242</v>
      </c>
      <c r="I23" s="24" t="n">
        <f aca="false">H23*$B$42*12/1000</f>
        <v>5.74840285376574</v>
      </c>
      <c r="J23" s="77" t="n">
        <f aca="false">Inputs!$B$35+($B$44-Inputs!$B$35)*((1/(1+EXP(-$B$46*($A23-$B$45))))-(1/(1+EXP(-$B$46*(2026-$B$45)))))/(1-(1/(1+EXP(-$B$46*(2026-$B$45)))))</f>
        <v>0.665352081650527</v>
      </c>
      <c r="K23" s="77" t="n">
        <f aca="false">(J23+J22)/2</f>
        <v>0.624218432735407</v>
      </c>
      <c r="L23" s="75" t="n">
        <f aca="false">MAX($B$48,Inputs!$B$36*(1-Inputs!$B$37)^B23)</f>
        <v>1.1</v>
      </c>
      <c r="M23" s="24" t="n">
        <f aca="false">K23*$B$47*L23</f>
        <v>27.4656110403579</v>
      </c>
      <c r="N23" s="77" t="n">
        <f aca="false">Inputs!$B$39+($B$50-Inputs!$B$39)*((1/(1+EXP(-$B$52*($A23-$B$51))))-(1/(1+EXP(-$B$52*(2026-$B$51)))))/(1-(1/(1+EXP(-$B$52*(2026-$B$51)))))</f>
        <v>0.293851949727446</v>
      </c>
      <c r="O23" s="75" t="n">
        <f aca="false">O22+N23</f>
        <v>1.42064648344867</v>
      </c>
      <c r="P23" s="76" t="n">
        <f aca="false">MAX($B$53,Inputs!$B$40*(1-Inputs!$B$41)^B23)</f>
        <v>30</v>
      </c>
      <c r="Q23" s="24" t="n">
        <f aca="false">N23*P23</f>
        <v>8.81555849182337</v>
      </c>
      <c r="R23" s="22" t="n">
        <f aca="false">Inputs!$B$43+($B$55-Inputs!$B$43)*((1/(1+EXP(-$B$57*($A23-$B$56))))-(1/(1+EXP(-$B$57*(2026-$B$56)))))/(1-(1/(1+EXP(-$B$57*(2026-$B$56)))))</f>
        <v>170.155351181736</v>
      </c>
      <c r="S23" s="73" t="n">
        <f aca="false">MAX($B$58,Inputs!$B$44*(1-Inputs!$B$45)^B23)</f>
        <v>140</v>
      </c>
      <c r="T23" s="24" t="n">
        <f aca="false">R23*S23/1000</f>
        <v>23.821749165443</v>
      </c>
      <c r="U23" s="24" t="n">
        <f aca="false">U22*(1+$B$60*Inputs!$B$48^(B23-1))</f>
        <v>30.5471608106168</v>
      </c>
      <c r="V23" s="78" t="n">
        <f aca="false">G23+I23+M23+Q23+T23+U23</f>
        <v>197.045856119469</v>
      </c>
      <c r="W23" s="24" t="n">
        <f aca="false">G23*(Inputs!$B$33+($B$38-Inputs!$B$33)*C23)+I23*$B$43+M23*(Inputs!$B$38+($B$49-Inputs!$B$38)*C23)+Q23*(Inputs!$B$42+($B$54-Inputs!$B$42)*C23)+T23*(Inputs!$B$46+($B$59-Inputs!$B$46)*C23)+U23*$B$61-V23*Inputs!$B$49</f>
        <v>31.857106250129</v>
      </c>
      <c r="X23" s="24" t="n">
        <f aca="false">(W23-V23*(Inputs!$B$50+Inputs!$B$51))*(1-Inputs!$B$52)</f>
        <v>9.60049130416392</v>
      </c>
      <c r="Y23" s="76" t="n">
        <f aca="false">$B$62+($B$63-$B$62)*MIN(1,MAX(0,(A23-2027)/(Inputs!$B$26-2027)))</f>
        <v>12</v>
      </c>
      <c r="Z23" s="77" t="n">
        <f aca="false">Inputs!$B$11*(1+$B$64)^B23</f>
        <v>4.93785080074999</v>
      </c>
      <c r="AA23" s="22" t="n">
        <f aca="false">MIN(1,B23/Inputs!$B$25)*(W24*Y23+Inputs!$B$28)+(1-MIN(1,B23/Inputs!$B$25))*Inputs!$B$9*Inputs!$B$11</f>
        <v>443.481188673326</v>
      </c>
      <c r="AB23" s="79" t="n">
        <f aca="false">AA23/Z23</f>
        <v>89.8125938932717</v>
      </c>
      <c r="AC23" s="22" t="n">
        <f aca="false">Inputs!$B$53+($B$65-Inputs!$B$53)*((1/(1+EXP(-$B$67*($A23-$B$66))))-(1/(1+EXP(-$B$67*(2026-$B$66)))))/(1-(1/(1+EXP(-$B$67*(2026-$B$66)))))</f>
        <v>358.131958457274</v>
      </c>
      <c r="AD23" s="22" t="n">
        <f aca="false">AC23*(Inputs!$B$54+($B$68-Inputs!$B$54)*C23)</f>
        <v>107.439587537182</v>
      </c>
      <c r="AE23" s="75" t="n">
        <f aca="false">Inputs!$B$13*(1+$B$69)^B23</f>
        <v>19.6534061193793</v>
      </c>
      <c r="AF23" s="22" t="n">
        <f aca="false">MIN(1,B23/Inputs!$B$25)*(AD24*Y23)+(1-MIN(1,B23/Inputs!$B$25))*Inputs!$B$12*Inputs!$B$13</f>
        <v>1330.25004406943</v>
      </c>
      <c r="AG23" s="19" t="n">
        <f aca="false">AF23/AE23</f>
        <v>67.6854707010676</v>
      </c>
      <c r="AH23" s="73" t="n">
        <f aca="false">IF(AND(Inputs!$B$19="Yes",A23&gt;=$B$5),1,0)</f>
        <v>1</v>
      </c>
      <c r="AI23" s="22" t="n">
        <f aca="false">(AA23+AF23)*(1+IF(AH23=1,$B$70*MIN(1,(A23-$B$5+1)/3),0))</f>
        <v>1773.73123274276</v>
      </c>
      <c r="AJ23" s="75" t="n">
        <f aca="false">AE23+Z23*$B$4</f>
        <v>31.1854111656598</v>
      </c>
      <c r="AK23" s="58" t="n">
        <f aca="false">IF(AH23=1,Z23*$B$4/AJ23,1)</f>
        <v>0.369788456051496</v>
      </c>
      <c r="AL23" s="79" t="n">
        <f aca="false">IF(AH23=1,$B$4*AI23/AJ23,AB23)</f>
        <v>132.832149142019</v>
      </c>
      <c r="AM23" s="19" t="n">
        <f aca="false">AL23*Holdings!$D$15</f>
        <v>48945.9903158512</v>
      </c>
      <c r="AN23" s="80" t="n">
        <f aca="false">AM23/Inputs!$B$14</f>
        <v>36999.0099900607</v>
      </c>
      <c r="AO23" s="21" t="n">
        <f aca="false">AN23/(1+Inputs!$B$17)^B23</f>
        <v>25546.5420352784</v>
      </c>
      <c r="AP23" s="20" t="n">
        <f aca="false">AL23/Inputs!$B$9</f>
        <v>0.354219064378718</v>
      </c>
    </row>
    <row r="24" customFormat="false" ht="15" hidden="false" customHeight="false" outlineLevel="0" collapsed="false">
      <c r="A24" s="73" t="n">
        <v>2042</v>
      </c>
      <c r="B24" s="73" t="n">
        <f aca="false">A24-2026</f>
        <v>16</v>
      </c>
      <c r="C24" s="74" t="n">
        <f aca="false">MIN(1,B24/Inputs!$B$27)</f>
        <v>1</v>
      </c>
      <c r="D24" s="75" t="n">
        <f aca="false">Inputs!$B$30+($B$33-Inputs!$B$30)*((1/(1+EXP(-$B$35*($A24-$B$34))))-(1/(1+EXP(-$B$35*(2026-$B$34)))))/(1-(1/(1+EXP(-$B$35*(2026-$B$34)))))</f>
        <v>2.86144981248721</v>
      </c>
      <c r="E24" s="76" t="n">
        <f aca="false">E23-J23+D24+J24</f>
        <v>48.7594029906159</v>
      </c>
      <c r="F24" s="76" t="n">
        <f aca="false">MAX($B$37,Inputs!$B$32*(1+$B$36)^B24)</f>
        <v>35.3354975004373</v>
      </c>
      <c r="G24" s="24" t="n">
        <f aca="false">D24*F24</f>
        <v>101.110752696769</v>
      </c>
      <c r="H24" s="75" t="n">
        <f aca="false">Inputs!$B$34+($B$39-Inputs!$B$34)*((1/(1+EXP(-$B$41*($A24-$B$40))))-(1/(1+EXP(-$B$41*(2026-$B$40)))))/(1-(1/(1+EXP(-$B$41*(2026-$B$40)))))</f>
        <v>8.41110677851101</v>
      </c>
      <c r="I24" s="24" t="n">
        <f aca="false">H24*$B$42*12/1000</f>
        <v>6.05599688052793</v>
      </c>
      <c r="J24" s="77" t="n">
        <f aca="false">Inputs!$B$35+($B$44-Inputs!$B$35)*((1/(1+EXP(-$B$46*($A24-$B$45))))-(1/(1+EXP(-$B$46*(2026-$B$45)))))/(1-(1/(1+EXP(-$B$46*(2026-$B$45)))))</f>
        <v>0.738559543331266</v>
      </c>
      <c r="K24" s="77" t="n">
        <f aca="false">(J24+J23)/2</f>
        <v>0.701955812490896</v>
      </c>
      <c r="L24" s="75" t="n">
        <f aca="false">MAX($B$48,Inputs!$B$36*(1-Inputs!$B$37)^B24)</f>
        <v>1.1</v>
      </c>
      <c r="M24" s="24" t="n">
        <f aca="false">K24*$B$47*L24</f>
        <v>30.8860557495994</v>
      </c>
      <c r="N24" s="77" t="n">
        <f aca="false">Inputs!$B$39+($B$50-Inputs!$B$39)*((1/(1+EXP(-$B$52*($A24-$B$51))))-(1/(1+EXP(-$B$52*(2026-$B$51)))))/(1-(1/(1+EXP(-$B$52*(2026-$B$51)))))</f>
        <v>0.334529867900586</v>
      </c>
      <c r="O24" s="75" t="n">
        <f aca="false">O23+N24</f>
        <v>1.75517635134925</v>
      </c>
      <c r="P24" s="76" t="n">
        <f aca="false">MAX($B$53,Inputs!$B$40*(1-Inputs!$B$41)^B24)</f>
        <v>30</v>
      </c>
      <c r="Q24" s="24" t="n">
        <f aca="false">N24*P24</f>
        <v>10.0358960370176</v>
      </c>
      <c r="R24" s="22" t="n">
        <f aca="false">Inputs!$B$43+($B$55-Inputs!$B$43)*((1/(1+EXP(-$B$57*($A24-$B$56))))-(1/(1+EXP(-$B$57*(2026-$B$56)))))/(1-(1/(1+EXP(-$B$57*(2026-$B$56)))))</f>
        <v>175.779613830388</v>
      </c>
      <c r="S24" s="73" t="n">
        <f aca="false">MAX($B$58,Inputs!$B$44*(1-Inputs!$B$45)^B24)</f>
        <v>140</v>
      </c>
      <c r="T24" s="24" t="n">
        <f aca="false">R24*S24/1000</f>
        <v>24.6091459362543</v>
      </c>
      <c r="U24" s="24" t="n">
        <f aca="false">U23*(1+$B$60*Inputs!$B$48^(B24-1))</f>
        <v>31.1642761333066</v>
      </c>
      <c r="V24" s="78" t="n">
        <f aca="false">G24+I24+M24+Q24+T24+U24</f>
        <v>203.862123433475</v>
      </c>
      <c r="W24" s="24" t="n">
        <f aca="false">G24*(Inputs!$B$33+($B$38-Inputs!$B$33)*C24)+I24*$B$43+M24*(Inputs!$B$38+($B$49-Inputs!$B$38)*C24)+Q24*(Inputs!$B$42+($B$54-Inputs!$B$42)*C24)+T24*(Inputs!$B$46+($B$59-Inputs!$B$46)*C24)+U24*$B$61-V24*Inputs!$B$49</f>
        <v>33.8150990561105</v>
      </c>
      <c r="X24" s="24" t="n">
        <f aca="false">(W24-V24*(Inputs!$B$50+Inputs!$B$51))*(1-Inputs!$B$52)</f>
        <v>10.6088205030828</v>
      </c>
      <c r="Y24" s="76" t="n">
        <f aca="false">$B$62+($B$63-$B$62)*MIN(1,MAX(0,(A24-2027)/(Inputs!$B$26-2027)))</f>
        <v>12</v>
      </c>
      <c r="Z24" s="77" t="n">
        <f aca="false">Inputs!$B$11*(1+$B$64)^B24</f>
        <v>5.01191856276124</v>
      </c>
      <c r="AA24" s="22" t="n">
        <f aca="false">MIN(1,B24/Inputs!$B$25)*(W25*Y24+Inputs!$B$28)+(1-MIN(1,B24/Inputs!$B$25))*Inputs!$B$9*Inputs!$B$11</f>
        <v>463.583386296783</v>
      </c>
      <c r="AB24" s="79" t="n">
        <f aca="false">AA24/Z24</f>
        <v>92.4961929232504</v>
      </c>
      <c r="AC24" s="22" t="n">
        <f aca="false">Inputs!$B$53+($B$65-Inputs!$B$53)*((1/(1+EXP(-$B$67*($A24-$B$66))))-(1/(1+EXP(-$B$67*(2026-$B$66)))))/(1-(1/(1+EXP(-$B$67*(2026-$B$66)))))</f>
        <v>369.513901130398</v>
      </c>
      <c r="AD24" s="22" t="n">
        <f aca="false">AC24*(Inputs!$B$54+($B$68-Inputs!$B$54)*C24)</f>
        <v>110.854170339119</v>
      </c>
      <c r="AE24" s="75" t="n">
        <f aca="false">Inputs!$B$13*(1+$B$69)^B24</f>
        <v>20.1447412723638</v>
      </c>
      <c r="AF24" s="22" t="n">
        <f aca="false">MIN(1,B24/Inputs!$B$25)*(AD25*Y24)+(1-MIN(1,B24/Inputs!$B$25))*Inputs!$B$12*Inputs!$B$13</f>
        <v>1360.80260977468</v>
      </c>
      <c r="AG24" s="19" t="n">
        <f aca="false">AF24/AE24</f>
        <v>67.5512577389881</v>
      </c>
      <c r="AH24" s="73" t="n">
        <f aca="false">IF(AND(Inputs!$B$19="Yes",A24&gt;=$B$5),1,0)</f>
        <v>1</v>
      </c>
      <c r="AI24" s="22" t="n">
        <f aca="false">(AA24+AF24)*(1+IF(AH24=1,$B$70*MIN(1,(A24-$B$5+1)/3),0))</f>
        <v>1824.38599607146</v>
      </c>
      <c r="AJ24" s="75" t="n">
        <f aca="false">AE24+Z24*$B$4</f>
        <v>31.8497263943385</v>
      </c>
      <c r="AK24" s="58" t="n">
        <f aca="false">IF(AH24=1,Z24*$B$4/AJ24,1)</f>
        <v>0.367506614564051</v>
      </c>
      <c r="AL24" s="79" t="n">
        <f aca="false">IF(AH24=1,$B$4*AI24/AJ24,AB24)</f>
        <v>133.775900920645</v>
      </c>
      <c r="AM24" s="19" t="n">
        <f aca="false">AL24*Holdings!$D$15</f>
        <v>49293.7439712391</v>
      </c>
      <c r="AN24" s="80" t="n">
        <f aca="false">AM24/Inputs!$B$14</f>
        <v>37261.8822066967</v>
      </c>
      <c r="AO24" s="21" t="n">
        <f aca="false">AN24/(1+Inputs!$B$17)^B24</f>
        <v>25100.532923625</v>
      </c>
      <c r="AP24" s="20" t="n">
        <f aca="false">AL24/Inputs!$B$9</f>
        <v>0.356735735788386</v>
      </c>
    </row>
    <row r="25" customFormat="false" ht="15" hidden="false" customHeight="false" outlineLevel="0" collapsed="false">
      <c r="A25" s="73" t="n">
        <v>2043</v>
      </c>
      <c r="B25" s="73" t="n">
        <f aca="false">A25-2026</f>
        <v>17</v>
      </c>
      <c r="C25" s="74" t="n">
        <f aca="false">MIN(1,B25/Inputs!$B$27)</f>
        <v>1</v>
      </c>
      <c r="D25" s="75" t="n">
        <f aca="false">Inputs!$B$30+($B$33-Inputs!$B$30)*((1/(1+EXP(-$B$35*($A25-$B$34))))-(1/(1+EXP(-$B$35*(2026-$B$34)))))/(1-(1/(1+EXP(-$B$35*(2026-$B$34)))))</f>
        <v>2.89437279135279</v>
      </c>
      <c r="E25" s="76" t="n">
        <f aca="false">E24-J24+D25+J25</f>
        <v>51.7157095768655</v>
      </c>
      <c r="F25" s="76" t="n">
        <f aca="false">MAX($B$37,Inputs!$B$32*(1+$B$36)^B25)</f>
        <v>34.982142525433</v>
      </c>
      <c r="G25" s="24" t="n">
        <f aca="false">D25*F25</f>
        <v>101.251361508838</v>
      </c>
      <c r="H25" s="75" t="n">
        <f aca="false">Inputs!$B$34+($B$39-Inputs!$B$34)*((1/(1+EXP(-$B$41*($A25-$B$40))))-(1/(1+EXP(-$B$41*(2026-$B$40)))))/(1-(1/(1+EXP(-$B$41*(2026-$B$40)))))</f>
        <v>8.76450295562465</v>
      </c>
      <c r="I25" s="24" t="n">
        <f aca="false">H25*$B$42*12/1000</f>
        <v>6.31044212804975</v>
      </c>
      <c r="J25" s="77" t="n">
        <f aca="false">Inputs!$B$35+($B$44-Inputs!$B$35)*((1/(1+EXP(-$B$46*($A25-$B$45))))-(1/(1+EXP(-$B$46*(2026-$B$45)))))/(1-(1/(1+EXP(-$B$46*(2026-$B$45)))))</f>
        <v>0.800493338228004</v>
      </c>
      <c r="K25" s="77" t="n">
        <f aca="false">(J25+J24)/2</f>
        <v>0.769526440779635</v>
      </c>
      <c r="L25" s="75" t="n">
        <f aca="false">MAX($B$48,Inputs!$B$36*(1-Inputs!$B$37)^B25)</f>
        <v>1.1</v>
      </c>
      <c r="M25" s="24" t="n">
        <f aca="false">K25*$B$47*L25</f>
        <v>33.859163394304</v>
      </c>
      <c r="N25" s="77" t="n">
        <f aca="false">Inputs!$B$39+($B$50-Inputs!$B$39)*((1/(1+EXP(-$B$52*($A25-$B$51))))-(1/(1+EXP(-$B$52*(2026-$B$51)))))/(1-(1/(1+EXP(-$B$52*(2026-$B$51)))))</f>
        <v>0.370728056177748</v>
      </c>
      <c r="O25" s="75" t="n">
        <f aca="false">O24+N25</f>
        <v>2.125904407527</v>
      </c>
      <c r="P25" s="76" t="n">
        <f aca="false">MAX($B$53,Inputs!$B$40*(1-Inputs!$B$41)^B25)</f>
        <v>30</v>
      </c>
      <c r="Q25" s="24" t="n">
        <f aca="false">N25*P25</f>
        <v>11.1218416853325</v>
      </c>
      <c r="R25" s="22" t="n">
        <f aca="false">Inputs!$B$43+($B$55-Inputs!$B$43)*((1/(1+EXP(-$B$57*($A25-$B$56))))-(1/(1+EXP(-$B$57*(2026-$B$56)))))/(1-(1/(1+EXP(-$B$57*(2026-$B$56)))))</f>
        <v>180.498510999824</v>
      </c>
      <c r="S25" s="73" t="n">
        <f aca="false">MAX($B$58,Inputs!$B$44*(1-Inputs!$B$45)^B25)</f>
        <v>140</v>
      </c>
      <c r="T25" s="24" t="n">
        <f aca="false">R25*S25/1000</f>
        <v>25.2697915399754</v>
      </c>
      <c r="U25" s="24" t="n">
        <f aca="false">U24*(1+$B$60*Inputs!$B$48^(B25-1))</f>
        <v>31.7497876893795</v>
      </c>
      <c r="V25" s="78" t="n">
        <f aca="false">G25+I25+M25+Q25+T25+U25</f>
        <v>209.562387945879</v>
      </c>
      <c r="W25" s="24" t="n">
        <f aca="false">G25*(Inputs!$B$33+($B$38-Inputs!$B$33)*C25)+I25*$B$43+M25*(Inputs!$B$38+($B$49-Inputs!$B$38)*C25)+Q25*(Inputs!$B$42+($B$54-Inputs!$B$42)*C25)+T25*(Inputs!$B$46+($B$59-Inputs!$B$46)*C25)+U25*$B$61-V25*Inputs!$B$49</f>
        <v>35.4902821913986</v>
      </c>
      <c r="X25" s="24" t="n">
        <f aca="false">(W25-V25*(Inputs!$B$50+Inputs!$B$51))*(1-Inputs!$B$52)</f>
        <v>11.4818942834804</v>
      </c>
      <c r="Y25" s="76" t="n">
        <f aca="false">$B$62+($B$63-$B$62)*MIN(1,MAX(0,(A25-2027)/(Inputs!$B$26-2027)))</f>
        <v>12</v>
      </c>
      <c r="Z25" s="77" t="n">
        <f aca="false">Inputs!$B$11*(1+$B$64)^B25</f>
        <v>5.08709734120266</v>
      </c>
      <c r="AA25" s="22" t="n">
        <f aca="false">MIN(1,B25/Inputs!$B$25)*(W26*Y25+Inputs!$B$28)+(1-MIN(1,B25/Inputs!$B$25))*Inputs!$B$9*Inputs!$B$11</f>
        <v>480.073233934707</v>
      </c>
      <c r="AB25" s="79" t="n">
        <f aca="false">AA25/Z25</f>
        <v>94.3707583588741</v>
      </c>
      <c r="AC25" s="22" t="n">
        <f aca="false">Inputs!$B$53+($B$65-Inputs!$B$53)*((1/(1+EXP(-$B$67*($A25-$B$66))))-(1/(1+EXP(-$B$67*(2026-$B$66)))))/(1-(1/(1+EXP(-$B$67*(2026-$B$66)))))</f>
        <v>378.000724937411</v>
      </c>
      <c r="AD25" s="22" t="n">
        <f aca="false">AC25*(Inputs!$B$54+($B$68-Inputs!$B$54)*C25)</f>
        <v>113.400217481223</v>
      </c>
      <c r="AE25" s="75" t="n">
        <f aca="false">Inputs!$B$13*(1+$B$69)^B25</f>
        <v>20.6483598041729</v>
      </c>
      <c r="AF25" s="22" t="n">
        <f aca="false">MIN(1,B25/Inputs!$B$25)*(AD26*Y25)+(1-MIN(1,B25/Inputs!$B$25))*Inputs!$B$12*Inputs!$B$13</f>
        <v>1383.22950232655</v>
      </c>
      <c r="AG25" s="19" t="n">
        <f aca="false">AF25/AE25</f>
        <v>66.9898004221624</v>
      </c>
      <c r="AH25" s="73" t="n">
        <f aca="false">IF(AND(Inputs!$B$19="Yes",A25&gt;=$B$5),1,0)</f>
        <v>1</v>
      </c>
      <c r="AI25" s="22" t="n">
        <f aca="false">(AA25+AF25)*(1+IF(AH25=1,$B$70*MIN(1,(A25-$B$5+1)/3),0))</f>
        <v>1863.30273626125</v>
      </c>
      <c r="AJ25" s="75" t="n">
        <f aca="false">AE25+Z25*$B$4</f>
        <v>32.5289197029772</v>
      </c>
      <c r="AK25" s="58" t="n">
        <f aca="false">IF(AH25=1,Z25*$B$4/AJ25,1)</f>
        <v>0.365230693404088</v>
      </c>
      <c r="AL25" s="79" t="n">
        <f aca="false">IF(AH25=1,$B$4*AI25/AJ25,AB25)</f>
        <v>133.776750225413</v>
      </c>
      <c r="AM25" s="19" t="n">
        <f aca="false">AL25*Holdings!$D$15</f>
        <v>49294.0569230602</v>
      </c>
      <c r="AN25" s="80" t="n">
        <f aca="false">AM25/Inputs!$B$14</f>
        <v>37262.1187716836</v>
      </c>
      <c r="AO25" s="21" t="n">
        <f aca="false">AN25/(1+Inputs!$B$17)^B25</f>
        <v>24488.4802728766</v>
      </c>
      <c r="AP25" s="20" t="n">
        <f aca="false">AL25/Inputs!$B$9</f>
        <v>0.356738000601102</v>
      </c>
    </row>
    <row r="26" customFormat="false" ht="15" hidden="false" customHeight="false" outlineLevel="0" collapsed="false">
      <c r="A26" s="73" t="n">
        <v>2044</v>
      </c>
      <c r="B26" s="73" t="n">
        <f aca="false">A26-2026</f>
        <v>18</v>
      </c>
      <c r="C26" s="74" t="n">
        <f aca="false">MIN(1,B26/Inputs!$B$27)</f>
        <v>1</v>
      </c>
      <c r="D26" s="75" t="n">
        <f aca="false">Inputs!$B$30+($B$33-Inputs!$B$30)*((1/(1+EXP(-$B$35*($A26-$B$34))))-(1/(1+EXP(-$B$35*(2026-$B$34)))))/(1-(1/(1+EXP(-$B$35*(2026-$B$34)))))</f>
        <v>2.9200254398397</v>
      </c>
      <c r="E26" s="76" t="n">
        <f aca="false">E25-J25+D26+J26</f>
        <v>54.6859292587315</v>
      </c>
      <c r="F26" s="76" t="n">
        <f aca="false">MAX($B$37,Inputs!$B$32*(1+$B$36)^B26)</f>
        <v>34.6323211001786</v>
      </c>
      <c r="G26" s="24" t="n">
        <f aca="false">D26*F26</f>
        <v>101.127258653219</v>
      </c>
      <c r="H26" s="75" t="n">
        <f aca="false">Inputs!$B$34+($B$39-Inputs!$B$34)*((1/(1+EXP(-$B$41*($A26-$B$40))))-(1/(1+EXP(-$B$41*(2026-$B$40)))))/(1-(1/(1+EXP(-$B$41*(2026-$B$40)))))</f>
        <v>9.0497864768764</v>
      </c>
      <c r="I26" s="24" t="n">
        <f aca="false">H26*$B$42*12/1000</f>
        <v>6.51584626335101</v>
      </c>
      <c r="J26" s="77" t="n">
        <f aca="false">Inputs!$B$35+($B$44-Inputs!$B$35)*((1/(1+EXP(-$B$46*($A26-$B$45))))-(1/(1+EXP(-$B$46*(2026-$B$45)))))/(1-(1/(1+EXP(-$B$46*(2026-$B$45)))))</f>
        <v>0.850687580254317</v>
      </c>
      <c r="K26" s="77" t="n">
        <f aca="false">(J26+J25)/2</f>
        <v>0.82559045924116</v>
      </c>
      <c r="L26" s="75" t="n">
        <f aca="false">MAX($B$48,Inputs!$B$36*(1-Inputs!$B$37)^B26)</f>
        <v>1.1</v>
      </c>
      <c r="M26" s="24" t="n">
        <f aca="false">K26*$B$47*L26</f>
        <v>36.3259802066111</v>
      </c>
      <c r="N26" s="77" t="n">
        <f aca="false">Inputs!$B$39+($B$50-Inputs!$B$39)*((1/(1+EXP(-$B$52*($A26-$B$51))))-(1/(1+EXP(-$B$52*(2026-$B$51)))))/(1-(1/(1+EXP(-$B$52*(2026-$B$51)))))</f>
        <v>0.401351863053723</v>
      </c>
      <c r="O26" s="75" t="n">
        <f aca="false">O25+N26</f>
        <v>2.52725627058073</v>
      </c>
      <c r="P26" s="76" t="n">
        <f aca="false">MAX($B$53,Inputs!$B$40*(1-Inputs!$B$41)^B26)</f>
        <v>30</v>
      </c>
      <c r="Q26" s="24" t="n">
        <f aca="false">N26*P26</f>
        <v>12.0405558916117</v>
      </c>
      <c r="R26" s="22" t="n">
        <f aca="false">Inputs!$B$43+($B$55-Inputs!$B$43)*((1/(1+EXP(-$B$57*($A26-$B$56))))-(1/(1+EXP(-$B$57*(2026-$B$56)))))/(1-(1/(1+EXP(-$B$57*(2026-$B$56)))))</f>
        <v>184.400914764844</v>
      </c>
      <c r="S26" s="73" t="n">
        <f aca="false">MAX($B$58,Inputs!$B$44*(1-Inputs!$B$45)^B26)</f>
        <v>140</v>
      </c>
      <c r="T26" s="24" t="n">
        <f aca="false">R26*S26/1000</f>
        <v>25.8161280670782</v>
      </c>
      <c r="U26" s="24" t="n">
        <f aca="false">U25*(1+$B$60*Inputs!$B$48^(B26-1))</f>
        <v>32.3045439362241</v>
      </c>
      <c r="V26" s="78" t="n">
        <f aca="false">G26+I26+M26+Q26+T26+U26</f>
        <v>214.130313018095</v>
      </c>
      <c r="W26" s="24" t="n">
        <f aca="false">G26*(Inputs!$B$33+($B$38-Inputs!$B$33)*C26)+I26*$B$43+M26*(Inputs!$B$38+($B$49-Inputs!$B$38)*C26)+Q26*(Inputs!$B$42+($B$54-Inputs!$B$42)*C26)+T26*(Inputs!$B$46+($B$59-Inputs!$B$46)*C26)+U26*$B$61-V26*Inputs!$B$49</f>
        <v>36.8644361612256</v>
      </c>
      <c r="X26" s="24" t="n">
        <f aca="false">(W26-V26*(Inputs!$B$50+Inputs!$B$51))*(1-Inputs!$B$52)</f>
        <v>12.2066098389387</v>
      </c>
      <c r="Y26" s="76" t="n">
        <f aca="false">$B$62+($B$63-$B$62)*MIN(1,MAX(0,(A26-2027)/(Inputs!$B$26-2027)))</f>
        <v>12</v>
      </c>
      <c r="Z26" s="77" t="n">
        <f aca="false">Inputs!$B$11*(1+$B$64)^B26</f>
        <v>5.1634038013207</v>
      </c>
      <c r="AA26" s="22" t="n">
        <f aca="false">MIN(1,B26/Inputs!$B$25)*(W27*Y26+Inputs!$B$28)+(1-MIN(1,B26/Inputs!$B$25))*Inputs!$B$9*Inputs!$B$11</f>
        <v>493.110499168224</v>
      </c>
      <c r="AB26" s="79" t="n">
        <f aca="false">AA26/Z26</f>
        <v>95.5010528214152</v>
      </c>
      <c r="AC26" s="22" t="n">
        <f aca="false">Inputs!$B$53+($B$65-Inputs!$B$53)*((1/(1+EXP(-$B$67*($A26-$B$66))))-(1/(1+EXP(-$B$67*(2026-$B$66)))))/(1-(1/(1+EXP(-$B$67*(2026-$B$66)))))</f>
        <v>384.230417312929</v>
      </c>
      <c r="AD26" s="22" t="n">
        <f aca="false">AC26*(Inputs!$B$54+($B$68-Inputs!$B$54)*C26)</f>
        <v>115.269125193879</v>
      </c>
      <c r="AE26" s="75" t="n">
        <f aca="false">Inputs!$B$13*(1+$B$69)^B26</f>
        <v>21.1645687992772</v>
      </c>
      <c r="AF26" s="22" t="n">
        <f aca="false">MIN(1,B26/Inputs!$B$25)*(AD27*Y26)+(1-MIN(1,B26/Inputs!$B$25))*Inputs!$B$12*Inputs!$B$13</f>
        <v>1399.50308677293</v>
      </c>
      <c r="AG26" s="19" t="n">
        <f aca="false">AF26/AE26</f>
        <v>66.1248098199252</v>
      </c>
      <c r="AH26" s="73" t="n">
        <f aca="false">IF(AND(Inputs!$B$19="Yes",A26&gt;=$B$5),1,0)</f>
        <v>1</v>
      </c>
      <c r="AI26" s="22" t="n">
        <f aca="false">(AA26+AF26)*(1+IF(AH26=1,$B$70*MIN(1,(A26-$B$5+1)/3),0))</f>
        <v>1892.61358594115</v>
      </c>
      <c r="AJ26" s="75" t="n">
        <f aca="false">AE26+Z26*$B$4</f>
        <v>33.2233370965636</v>
      </c>
      <c r="AK26" s="58" t="n">
        <f aca="false">IF(AH26=1,Z26*$B$4/AJ26,1)</f>
        <v>0.362960778510525</v>
      </c>
      <c r="AL26" s="79" t="n">
        <f aca="false">IF(AH26=1,$B$4*AI26/AJ26,AB26)</f>
        <v>133.041018484181</v>
      </c>
      <c r="AM26" s="19" t="n">
        <f aca="false">AL26*Holdings!$D$15</f>
        <v>49022.954491051</v>
      </c>
      <c r="AN26" s="80" t="n">
        <f aca="false">AM26/Inputs!$B$14</f>
        <v>37057.1883672621</v>
      </c>
      <c r="AO26" s="21" t="n">
        <f aca="false">AN26/(1+Inputs!$B$17)^B26</f>
        <v>23759.8058771185</v>
      </c>
      <c r="AP26" s="20" t="n">
        <f aca="false">AL26/Inputs!$B$9</f>
        <v>0.354776049291149</v>
      </c>
    </row>
    <row r="27" customFormat="false" ht="15" hidden="false" customHeight="false" outlineLevel="0" collapsed="false">
      <c r="A27" s="73" t="n">
        <v>2045</v>
      </c>
      <c r="B27" s="73" t="n">
        <f aca="false">A27-2026</f>
        <v>19</v>
      </c>
      <c r="C27" s="74" t="n">
        <f aca="false">MIN(1,B27/Inputs!$B$27)</f>
        <v>1</v>
      </c>
      <c r="D27" s="75" t="n">
        <f aca="false">Inputs!$B$30+($B$33-Inputs!$B$30)*((1/(1+EXP(-$B$35*($A27-$B$34))))-(1/(1+EXP(-$B$35*(2026-$B$34)))))/(1-(1/(1+EXP(-$B$35*(2026-$B$34)))))</f>
        <v>2.9397703475711</v>
      </c>
      <c r="E27" s="76" t="n">
        <f aca="false">E26-J26+D27+J27</f>
        <v>57.6649828557846</v>
      </c>
      <c r="F27" s="76" t="n">
        <f aca="false">MAX($B$37,Inputs!$B$32*(1+$B$36)^B27)</f>
        <v>34.2859978891769</v>
      </c>
      <c r="G27" s="24" t="n">
        <f aca="false">D27*F27</f>
        <v>100.792959931487</v>
      </c>
      <c r="H27" s="75" t="n">
        <f aca="false">Inputs!$B$34+($B$39-Inputs!$B$34)*((1/(1+EXP(-$B$41*($A27-$B$40))))-(1/(1+EXP(-$B$41*(2026-$B$40)))))/(1-(1/(1+EXP(-$B$41*(2026-$B$40)))))</f>
        <v>9.27558090055187</v>
      </c>
      <c r="I27" s="24" t="n">
        <f aca="false">H27*$B$42*12/1000</f>
        <v>6.67841824839735</v>
      </c>
      <c r="J27" s="77" t="n">
        <f aca="false">Inputs!$B$35+($B$44-Inputs!$B$35)*((1/(1+EXP(-$B$46*($A27-$B$45))))-(1/(1+EXP(-$B$46*(2026-$B$45)))))/(1-(1/(1+EXP(-$B$46*(2026-$B$45)))))</f>
        <v>0.88997082973639</v>
      </c>
      <c r="K27" s="77" t="n">
        <f aca="false">(J27+J26)/2</f>
        <v>0.870329204995353</v>
      </c>
      <c r="L27" s="75" t="n">
        <f aca="false">MAX($B$48,Inputs!$B$36*(1-Inputs!$B$37)^B27)</f>
        <v>1.1</v>
      </c>
      <c r="M27" s="24" t="n">
        <f aca="false">K27*$B$47*L27</f>
        <v>38.2944850197955</v>
      </c>
      <c r="N27" s="77" t="n">
        <f aca="false">Inputs!$B$39+($B$50-Inputs!$B$39)*((1/(1+EXP(-$B$52*($A27-$B$51))))-(1/(1+EXP(-$B$52*(2026-$B$51)))))/(1-(1/(1+EXP(-$B$52*(2026-$B$51)))))</f>
        <v>0.426170926323826</v>
      </c>
      <c r="O27" s="75" t="n">
        <f aca="false">O26+N27</f>
        <v>2.95342719690455</v>
      </c>
      <c r="P27" s="76" t="n">
        <f aca="false">MAX($B$53,Inputs!$B$40*(1-Inputs!$B$41)^B27)</f>
        <v>30</v>
      </c>
      <c r="Q27" s="24" t="n">
        <f aca="false">N27*P27</f>
        <v>12.7851277897148</v>
      </c>
      <c r="R27" s="22" t="n">
        <f aca="false">Inputs!$B$43+($B$55-Inputs!$B$43)*((1/(1+EXP(-$B$57*($A27-$B$56))))-(1/(1+EXP(-$B$57*(2026-$B$56)))))/(1-(1/(1+EXP(-$B$57*(2026-$B$56)))))</f>
        <v>187.589671140921</v>
      </c>
      <c r="S27" s="73" t="n">
        <f aca="false">MAX($B$58,Inputs!$B$44*(1-Inputs!$B$45)^B27)</f>
        <v>140</v>
      </c>
      <c r="T27" s="24" t="n">
        <f aca="false">R27*S27/1000</f>
        <v>26.2625539597289</v>
      </c>
      <c r="U27" s="24" t="n">
        <f aca="false">U26*(1+$B$60*Inputs!$B$48^(B27-1))</f>
        <v>32.8294818471367</v>
      </c>
      <c r="V27" s="78" t="n">
        <f aca="false">G27+I27+M27+Q27+T27+U27</f>
        <v>217.643026796261</v>
      </c>
      <c r="W27" s="24" t="n">
        <f aca="false">G27*(Inputs!$B$33+($B$38-Inputs!$B$33)*C27)+I27*$B$43+M27*(Inputs!$B$38+($B$49-Inputs!$B$38)*C27)+Q27*(Inputs!$B$42+($B$54-Inputs!$B$42)*C27)+T27*(Inputs!$B$46+($B$59-Inputs!$B$46)*C27)+U27*$B$61-V27*Inputs!$B$49</f>
        <v>37.9508749306853</v>
      </c>
      <c r="X27" s="24" t="n">
        <f aca="false">(W27-V27*(Inputs!$B$50+Inputs!$B$51))*(1-Inputs!$B$52)</f>
        <v>12.7873920783368</v>
      </c>
      <c r="Y27" s="76" t="n">
        <f aca="false">$B$62+($B$63-$B$62)*MIN(1,MAX(0,(A27-2027)/(Inputs!$B$26-2027)))</f>
        <v>12</v>
      </c>
      <c r="Z27" s="77" t="n">
        <f aca="false">Inputs!$B$11*(1+$B$64)^B27</f>
        <v>5.24085485834051</v>
      </c>
      <c r="AA27" s="22" t="n">
        <f aca="false">MIN(1,B27/Inputs!$B$25)*(W28*Y27+Inputs!$B$28)+(1-MIN(1,B27/Inputs!$B$25))*Inputs!$B$9*Inputs!$B$11</f>
        <v>503.278160445445</v>
      </c>
      <c r="AB27" s="79" t="n">
        <f aca="false">AA27/Z27</f>
        <v>96.0297840808371</v>
      </c>
      <c r="AC27" s="22" t="n">
        <f aca="false">Inputs!$B$53+($B$65-Inputs!$B$53)*((1/(1+EXP(-$B$67*($A27-$B$66))))-(1/(1+EXP(-$B$67*(2026-$B$66)))))/(1-(1/(1+EXP(-$B$67*(2026-$B$66)))))</f>
        <v>388.750857436925</v>
      </c>
      <c r="AD27" s="22" t="n">
        <f aca="false">AC27*(Inputs!$B$54+($B$68-Inputs!$B$54)*C27)</f>
        <v>116.625257231077</v>
      </c>
      <c r="AE27" s="75" t="n">
        <f aca="false">Inputs!$B$13*(1+$B$69)^B27</f>
        <v>21.6936830192592</v>
      </c>
      <c r="AF27" s="22" t="n">
        <f aca="false">MIN(1,B27/Inputs!$B$25)*(AD28*Y27)+(1-MIN(1,B27/Inputs!$B$25))*Inputs!$B$12*Inputs!$B$13</f>
        <v>1411.21312113363</v>
      </c>
      <c r="AG27" s="19" t="n">
        <f aca="false">AF27/AE27</f>
        <v>65.0517996359026</v>
      </c>
      <c r="AH27" s="73" t="n">
        <f aca="false">IF(AND(Inputs!$B$19="Yes",A27&gt;=$B$5),1,0)</f>
        <v>1</v>
      </c>
      <c r="AI27" s="22" t="n">
        <f aca="false">(AA27+AF27)*(1+IF(AH27=1,$B$70*MIN(1,(A27-$B$5+1)/3),0))</f>
        <v>1914.49128157908</v>
      </c>
      <c r="AJ27" s="75" t="n">
        <f aca="false">AE27+Z27*$B$4</f>
        <v>33.9333328410048</v>
      </c>
      <c r="AK27" s="58" t="n">
        <f aca="false">IF(AH27=1,Z27*$B$4/AJ27,1)</f>
        <v>0.360696954793527</v>
      </c>
      <c r="AL27" s="79" t="n">
        <f aca="false">IF(AH27=1,$B$4*AI27/AJ27,AB27)</f>
        <v>131.763079480318</v>
      </c>
      <c r="AM27" s="19" t="n">
        <f aca="false">AL27*Holdings!$D$15</f>
        <v>48552.0595269074</v>
      </c>
      <c r="AN27" s="80" t="n">
        <f aca="false">AM27/Inputs!$B$14</f>
        <v>36701.2317838895</v>
      </c>
      <c r="AO27" s="21" t="n">
        <f aca="false">AN27/(1+Inputs!$B$17)^B27</f>
        <v>22957.6377079556</v>
      </c>
      <c r="AP27" s="20" t="n">
        <f aca="false">AL27/Inputs!$B$9</f>
        <v>0.351368211947514</v>
      </c>
    </row>
    <row r="28" customFormat="false" ht="15" hidden="false" customHeight="false" outlineLevel="0" collapsed="false">
      <c r="A28" s="73" t="n">
        <v>2046</v>
      </c>
      <c r="B28" s="73" t="n">
        <f aca="false">A28-2026</f>
        <v>20</v>
      </c>
      <c r="C28" s="74" t="n">
        <f aca="false">MIN(1,B28/Inputs!$B$27)</f>
        <v>1</v>
      </c>
      <c r="D28" s="75" t="n">
        <f aca="false">Inputs!$B$30+($B$33-Inputs!$B$30)*((1/(1+EXP(-$B$35*($A28-$B$34))))-(1/(1+EXP(-$B$35*(2026-$B$34)))))/(1-(1/(1+EXP(-$B$35*(2026-$B$34)))))</f>
        <v>2.95482549454911</v>
      </c>
      <c r="E28" s="76" t="n">
        <f aca="false">E27-J27+D28+J28</f>
        <v>60.6497200840133</v>
      </c>
      <c r="F28" s="76" t="n">
        <f aca="false">MAX($B$37,Inputs!$B$32*(1+$B$36)^B28)</f>
        <v>34</v>
      </c>
      <c r="G28" s="24" t="n">
        <f aca="false">D28*F28</f>
        <v>100.46406681467</v>
      </c>
      <c r="H28" s="75" t="n">
        <f aca="false">Inputs!$B$34+($B$39-Inputs!$B$34)*((1/(1+EXP(-$B$41*($A28-$B$40))))-(1/(1+EXP(-$B$41*(2026-$B$40)))))/(1-(1/(1+EXP(-$B$41*(2026-$B$40)))))</f>
        <v>9.45151349172178</v>
      </c>
      <c r="I28" s="24" t="n">
        <f aca="false">H28*$B$42*12/1000</f>
        <v>6.80508971403968</v>
      </c>
      <c r="J28" s="77" t="n">
        <f aca="false">Inputs!$B$35+($B$44-Inputs!$B$35)*((1/(1+EXP(-$B$46*($A28-$B$45))))-(1/(1+EXP(-$B$46*(2026-$B$45)))))/(1-(1/(1+EXP(-$B$46*(2026-$B$45)))))</f>
        <v>0.919882563415976</v>
      </c>
      <c r="K28" s="77" t="n">
        <f aca="false">(J28+J27)/2</f>
        <v>0.904926696576183</v>
      </c>
      <c r="L28" s="75" t="n">
        <f aca="false">MAX($B$48,Inputs!$B$36*(1-Inputs!$B$37)^B28)</f>
        <v>1.1</v>
      </c>
      <c r="M28" s="24" t="n">
        <f aca="false">K28*$B$47*L28</f>
        <v>39.8167746493521</v>
      </c>
      <c r="N28" s="77" t="n">
        <f aca="false">Inputs!$B$39+($B$50-Inputs!$B$39)*((1/(1+EXP(-$B$52*($A28-$B$51))))-(1/(1+EXP(-$B$52*(2026-$B$51)))))/(1-(1/(1+EXP(-$B$52*(2026-$B$51)))))</f>
        <v>0.445594936229977</v>
      </c>
      <c r="O28" s="75" t="n">
        <f aca="false">O27+N28</f>
        <v>3.39902213313453</v>
      </c>
      <c r="P28" s="76" t="n">
        <f aca="false">MAX($B$53,Inputs!$B$40*(1-Inputs!$B$41)^B28)</f>
        <v>30</v>
      </c>
      <c r="Q28" s="24" t="n">
        <f aca="false">N28*P28</f>
        <v>13.3678480868993</v>
      </c>
      <c r="R28" s="22" t="n">
        <f aca="false">Inputs!$B$43+($B$55-Inputs!$B$43)*((1/(1+EXP(-$B$57*($A28-$B$56))))-(1/(1+EXP(-$B$57*(2026-$B$56)))))/(1-(1/(1+EXP(-$B$57*(2026-$B$56)))))</f>
        <v>190.169878996688</v>
      </c>
      <c r="S28" s="73" t="n">
        <f aca="false">MAX($B$58,Inputs!$B$44*(1-Inputs!$B$45)^B28)</f>
        <v>140</v>
      </c>
      <c r="T28" s="24" t="n">
        <f aca="false">R28*S28/1000</f>
        <v>26.6237830595363</v>
      </c>
      <c r="U28" s="24" t="n">
        <f aca="false">U27*(1+$B$60*Inputs!$B$48^(B28-1))</f>
        <v>33.3256070633173</v>
      </c>
      <c r="V28" s="78" t="n">
        <f aca="false">G28+I28+M28+Q28+T28+U28</f>
        <v>220.403169387814</v>
      </c>
      <c r="W28" s="24" t="n">
        <f aca="false">G28*(Inputs!$B$33+($B$38-Inputs!$B$33)*C28)+I28*$B$43+M28*(Inputs!$B$38+($B$49-Inputs!$B$38)*C28)+Q28*(Inputs!$B$42+($B$54-Inputs!$B$42)*C28)+T28*(Inputs!$B$46+($B$59-Inputs!$B$46)*C28)+U28*$B$61-V28*Inputs!$B$49</f>
        <v>38.7981800371204</v>
      </c>
      <c r="X28" s="24" t="n">
        <f aca="false">(W28-V28*(Inputs!$B$50+Inputs!$B$51))*(1-Inputs!$B$52)</f>
        <v>13.2387118476878</v>
      </c>
      <c r="Y28" s="76" t="n">
        <f aca="false">$B$62+($B$63-$B$62)*MIN(1,MAX(0,(A28-2027)/(Inputs!$B$26-2027)))</f>
        <v>12</v>
      </c>
      <c r="Z28" s="77" t="n">
        <f aca="false">Inputs!$B$11*(1+$B$64)^B28</f>
        <v>5.31946768121562</v>
      </c>
      <c r="AA28" s="22" t="n">
        <f aca="false">MIN(1,B28/Inputs!$B$25)*(W29*Y28+Inputs!$B$28)+(1-MIN(1,B28/Inputs!$B$25))*Inputs!$B$9*Inputs!$B$11</f>
        <v>511.807680530913</v>
      </c>
      <c r="AB28" s="79" t="n">
        <f aca="false">AA28/Z28</f>
        <v>96.2140784007834</v>
      </c>
      <c r="AC28" s="22" t="n">
        <f aca="false">Inputs!$B$53+($B$65-Inputs!$B$53)*((1/(1+EXP(-$B$67*($A28-$B$66))))-(1/(1+EXP(-$B$67*(2026-$B$66)))))/(1-(1/(1+EXP(-$B$67*(2026-$B$66)))))</f>
        <v>392.003644759342</v>
      </c>
      <c r="AD28" s="22" t="n">
        <f aca="false">AC28*(Inputs!$B$54+($B$68-Inputs!$B$54)*C28)</f>
        <v>117.601093427803</v>
      </c>
      <c r="AE28" s="75" t="n">
        <f aca="false">Inputs!$B$13*(1+$B$69)^B28</f>
        <v>22.2360250947407</v>
      </c>
      <c r="AF28" s="22" t="n">
        <f aca="false">MIN(1,B28/Inputs!$B$25)*(AD29*Y28)+(1-MIN(1,B28/Inputs!$B$25))*Inputs!$B$12*Inputs!$B$13</f>
        <v>1419.58863368088</v>
      </c>
      <c r="AG28" s="19" t="n">
        <f aca="false">AF28/AE28</f>
        <v>63.841834484017</v>
      </c>
      <c r="AH28" s="73" t="n">
        <f aca="false">IF(AND(Inputs!$B$19="Yes",A28&gt;=$B$5),1,0)</f>
        <v>1</v>
      </c>
      <c r="AI28" s="22" t="n">
        <f aca="false">(AA28+AF28)*(1+IF(AH28=1,$B$70*MIN(1,(A28-$B$5+1)/3),0))</f>
        <v>1931.39631421179</v>
      </c>
      <c r="AJ28" s="75" t="n">
        <f aca="false">AE28+Z28*$B$4</f>
        <v>34.6592696638124</v>
      </c>
      <c r="AK28" s="58" t="n">
        <f aca="false">IF(AH28=1,Z28*$B$4/AJ28,1)</f>
        <v>0.358439306124296</v>
      </c>
      <c r="AL28" s="79" t="n">
        <f aca="false">IF(AH28=1,$B$4*AI28/AJ28,AB28)</f>
        <v>130.142412023997</v>
      </c>
      <c r="AM28" s="19" t="n">
        <f aca="false">AL28*Holdings!$D$15</f>
        <v>47954.8759826024</v>
      </c>
      <c r="AN28" s="80" t="n">
        <f aca="false">AM28/Inputs!$B$14</f>
        <v>36249.8117640051</v>
      </c>
      <c r="AO28" s="21" t="n">
        <f aca="false">AN28/(1+Inputs!$B$17)^B28</f>
        <v>22122.2068036745</v>
      </c>
      <c r="AP28" s="20" t="n">
        <f aca="false">AL28/Inputs!$B$9</f>
        <v>0.347046432063992</v>
      </c>
    </row>
    <row r="29" customFormat="false" ht="15" hidden="false" customHeight="false" outlineLevel="0" collapsed="false">
      <c r="A29" s="81" t="n">
        <v>2047</v>
      </c>
      <c r="B29" s="81" t="n">
        <f aca="false">A29-2026</f>
        <v>21</v>
      </c>
      <c r="C29" s="82" t="n">
        <f aca="false">MIN(1,B29/Inputs!$B$27)</f>
        <v>1</v>
      </c>
      <c r="D29" s="83" t="n">
        <f aca="false">Inputs!$B$30+($B$33-Inputs!$B$30)*((1/(1+EXP(-$B$35*($A29-$B$34))))-(1/(1+EXP(-$B$35*(2026-$B$34)))))/(1-(1/(1+EXP(-$B$35*(2026-$B$34)))))</f>
        <v>2.96622249478063</v>
      </c>
      <c r="E29" s="84" t="n">
        <f aca="false">E28-J28+D29+J29</f>
        <v>63.6382459430606</v>
      </c>
      <c r="F29" s="84" t="n">
        <f aca="false">MAX($B$37,Inputs!$B$32*(1+$B$36)^B29)</f>
        <v>34</v>
      </c>
      <c r="G29" s="85" t="n">
        <f aca="false">D29*F29</f>
        <v>100.851564822542</v>
      </c>
      <c r="H29" s="83" t="n">
        <f aca="false">Inputs!$B$34+($B$39-Inputs!$B$34)*((1/(1+EXP(-$B$41*($A29-$B$40))))-(1/(1+EXP(-$B$41*(2026-$B$40)))))/(1-(1/(1+EXP(-$B$41*(2026-$B$40)))))</f>
        <v>9.58692924738415</v>
      </c>
      <c r="I29" s="85" t="n">
        <f aca="false">H29*$B$42*12/1000</f>
        <v>6.90258905811659</v>
      </c>
      <c r="J29" s="86" t="n">
        <f aca="false">Inputs!$B$35+($B$44-Inputs!$B$35)*((1/(1+EXP(-$B$46*($A29-$B$45))))-(1/(1+EXP(-$B$46*(2026-$B$45)))))/(1-(1/(1+EXP(-$B$46*(2026-$B$45)))))</f>
        <v>0.942185927682635</v>
      </c>
      <c r="K29" s="86" t="n">
        <f aca="false">(J29+J28)/2</f>
        <v>0.931034245549306</v>
      </c>
      <c r="L29" s="83" t="n">
        <f aca="false">MAX($B$48,Inputs!$B$36*(1-Inputs!$B$37)^B29)</f>
        <v>1.1</v>
      </c>
      <c r="M29" s="85" t="n">
        <f aca="false">K29*$B$47*L29</f>
        <v>40.9655068041695</v>
      </c>
      <c r="N29" s="86" t="n">
        <f aca="false">Inputs!$B$39+($B$50-Inputs!$B$39)*((1/(1+EXP(-$B$52*($A29-$B$51))))-(1/(1+EXP(-$B$52*(2026-$B$51)))))/(1-(1/(1+EXP(-$B$52*(2026-$B$51)))))</f>
        <v>0.460385103004942</v>
      </c>
      <c r="O29" s="83" t="n">
        <f aca="false">O28+N29</f>
        <v>3.85940723613947</v>
      </c>
      <c r="P29" s="84" t="n">
        <f aca="false">MAX($B$53,Inputs!$B$40*(1-Inputs!$B$41)^B29)</f>
        <v>30</v>
      </c>
      <c r="Q29" s="85" t="n">
        <f aca="false">N29*P29</f>
        <v>13.8115530901483</v>
      </c>
      <c r="R29" s="87" t="n">
        <f aca="false">Inputs!$B$43+($B$55-Inputs!$B$43)*((1/(1+EXP(-$B$57*($A29-$B$56))))-(1/(1+EXP(-$B$57*(2026-$B$56)))))/(1-(1/(1+EXP(-$B$57*(2026-$B$56)))))</f>
        <v>192.241170531672</v>
      </c>
      <c r="S29" s="81" t="n">
        <f aca="false">MAX($B$58,Inputs!$B$44*(1-Inputs!$B$45)^B29)</f>
        <v>140</v>
      </c>
      <c r="T29" s="85" t="n">
        <f aca="false">R29*S29/1000</f>
        <v>26.913763874434</v>
      </c>
      <c r="U29" s="85" t="n">
        <f aca="false">U28*(1+$B$60*Inputs!$B$48^(B29-1))</f>
        <v>33.7939762230754</v>
      </c>
      <c r="V29" s="78" t="n">
        <f aca="false">G29+I29+M29+Q29+T29+U29</f>
        <v>223.238953872485</v>
      </c>
      <c r="W29" s="85" t="n">
        <f aca="false">G29*(Inputs!$B$33+($B$38-Inputs!$B$33)*C29)+I29*$B$43+M29*(Inputs!$B$38+($B$49-Inputs!$B$38)*C29)+Q29*(Inputs!$B$42+($B$54-Inputs!$B$42)*C29)+T29*(Inputs!$B$46+($B$59-Inputs!$B$46)*C29)+U29*$B$61-V29*Inputs!$B$49</f>
        <v>39.5089733775761</v>
      </c>
      <c r="X29" s="85" t="n">
        <f aca="false">(W29-V29*(Inputs!$B$50+Inputs!$B$51))*(1-Inputs!$B$52)</f>
        <v>13.5762116123588</v>
      </c>
      <c r="Y29" s="84" t="n">
        <f aca="false">$B$62+($B$63-$B$62)*MIN(1,MAX(0,(A29-2027)/(Inputs!$B$26-2027)))</f>
        <v>12</v>
      </c>
      <c r="Z29" s="86" t="n">
        <f aca="false">Inputs!$B$11*(1+$B$64)^B29</f>
        <v>5.39925969643385</v>
      </c>
      <c r="AA29" s="88"/>
      <c r="AB29" s="4"/>
      <c r="AC29" s="87" t="n">
        <f aca="false">Inputs!$B$53+($B$65-Inputs!$B$53)*((1/(1+EXP(-$B$67*($A29-$B$66))))-(1/(1+EXP(-$B$67*(2026-$B$66)))))/(1-(1/(1+EXP(-$B$67*(2026-$B$66)))))</f>
        <v>394.330176022467</v>
      </c>
      <c r="AD29" s="87" t="n">
        <f aca="false">AC29*(Inputs!$B$54+($B$68-Inputs!$B$54)*C29)</f>
        <v>118.29905280674</v>
      </c>
      <c r="AE29" s="83" t="n">
        <f aca="false">Inputs!$B$13*(1+$B$69)^B29</f>
        <v>22.7919257221092</v>
      </c>
      <c r="AF29" s="88"/>
      <c r="AG29" s="88"/>
      <c r="AH29" s="88"/>
      <c r="AI29" s="88"/>
      <c r="AJ29" s="88"/>
      <c r="AK29" s="88"/>
      <c r="AL29" s="4"/>
      <c r="AM29" s="88"/>
      <c r="AN29" s="4"/>
      <c r="AO29" s="88"/>
      <c r="AP29" s="88"/>
    </row>
    <row r="31" customFormat="false" ht="15" hidden="false" customHeight="false" outlineLevel="0" collapsed="false">
      <c r="D31" s="25" t="s">
        <v>345</v>
      </c>
    </row>
    <row r="32" customFormat="false" ht="15" hidden="false" customHeight="false" outlineLevel="0" collapsed="false">
      <c r="A32" s="4" t="s">
        <v>346</v>
      </c>
    </row>
    <row r="33" customFormat="false" ht="15" hidden="false" customHeight="false" outlineLevel="0" collapsed="false">
      <c r="A33" s="1" t="s">
        <v>194</v>
      </c>
      <c r="B33" s="89" t="n">
        <f aca="false">INDEX(Inputs!$C$66:$E$66,$B$2)</f>
        <v>3</v>
      </c>
    </row>
    <row r="34" customFormat="false" ht="15" hidden="false" customHeight="false" outlineLevel="0" collapsed="false">
      <c r="A34" s="1" t="s">
        <v>197</v>
      </c>
      <c r="B34" s="72" t="n">
        <f aca="false">INDEX(Inputs!$C$67:$E$67,$B$2)</f>
        <v>2035</v>
      </c>
    </row>
    <row r="35" customFormat="false" ht="15" hidden="false" customHeight="false" outlineLevel="0" collapsed="false">
      <c r="A35" s="1" t="s">
        <v>198</v>
      </c>
      <c r="B35" s="90" t="n">
        <f aca="false">INDEX(Inputs!$C$68:$E$68,$B$2)</f>
        <v>0.3</v>
      </c>
    </row>
    <row r="36" customFormat="false" ht="15" hidden="false" customHeight="false" outlineLevel="0" collapsed="false">
      <c r="A36" s="1" t="s">
        <v>199</v>
      </c>
      <c r="B36" s="91" t="n">
        <f aca="false">INDEX(Inputs!$C$69:$E$69,$B$2)</f>
        <v>-0.01</v>
      </c>
    </row>
    <row r="37" customFormat="false" ht="15" hidden="false" customHeight="false" outlineLevel="0" collapsed="false">
      <c r="A37" s="1" t="s">
        <v>201</v>
      </c>
      <c r="B37" s="89" t="n">
        <f aca="false">INDEX(Inputs!$C$70:$E$70,$B$2)</f>
        <v>34</v>
      </c>
    </row>
    <row r="38" customFormat="false" ht="15" hidden="false" customHeight="false" outlineLevel="0" collapsed="false">
      <c r="A38" s="1" t="s">
        <v>202</v>
      </c>
      <c r="B38" s="91" t="n">
        <f aca="false">INDEX(Inputs!$C$71:$E$71,$B$2)</f>
        <v>0.11</v>
      </c>
    </row>
    <row r="39" customFormat="false" ht="15" hidden="false" customHeight="false" outlineLevel="0" collapsed="false">
      <c r="A39" s="1" t="s">
        <v>204</v>
      </c>
      <c r="B39" s="89" t="n">
        <f aca="false">INDEX(Inputs!$C$73:$E$73,$B$2)</f>
        <v>10</v>
      </c>
    </row>
    <row r="40" customFormat="false" ht="15" hidden="false" customHeight="false" outlineLevel="0" collapsed="false">
      <c r="A40" s="1" t="s">
        <v>206</v>
      </c>
      <c r="B40" s="72" t="n">
        <f aca="false">INDEX(Inputs!$C$74:$E$74,$B$2)</f>
        <v>2037</v>
      </c>
    </row>
    <row r="41" customFormat="false" ht="15" hidden="false" customHeight="false" outlineLevel="0" collapsed="false">
      <c r="A41" s="1" t="s">
        <v>207</v>
      </c>
      <c r="B41" s="90" t="n">
        <f aca="false">INDEX(Inputs!$C$75:$E$75,$B$2)</f>
        <v>0.3</v>
      </c>
    </row>
    <row r="42" customFormat="false" ht="15" hidden="false" customHeight="false" outlineLevel="0" collapsed="false">
      <c r="A42" s="1" t="s">
        <v>208</v>
      </c>
      <c r="B42" s="92" t="n">
        <f aca="false">INDEX(Inputs!$C$76:$E$76,$B$2)</f>
        <v>60</v>
      </c>
    </row>
    <row r="43" customFormat="false" ht="15" hidden="false" customHeight="false" outlineLevel="0" collapsed="false">
      <c r="A43" s="1" t="s">
        <v>211</v>
      </c>
      <c r="B43" s="91" t="n">
        <f aca="false">INDEX(Inputs!$C$77:$E$77,$B$2)</f>
        <v>0.7</v>
      </c>
    </row>
    <row r="44" customFormat="false" ht="15" hidden="false" customHeight="false" outlineLevel="0" collapsed="false">
      <c r="A44" s="1" t="s">
        <v>214</v>
      </c>
      <c r="B44" s="89" t="n">
        <f aca="false">INDEX(Inputs!$C$79:$E$79,$B$2)</f>
        <v>1</v>
      </c>
    </row>
    <row r="45" customFormat="false" ht="15" hidden="false" customHeight="false" outlineLevel="0" collapsed="false">
      <c r="A45" s="1" t="s">
        <v>217</v>
      </c>
      <c r="B45" s="72" t="n">
        <f aca="false">INDEX(Inputs!$C$80:$E$80,$B$2)</f>
        <v>2039</v>
      </c>
    </row>
    <row r="46" customFormat="false" ht="15" hidden="false" customHeight="false" outlineLevel="0" collapsed="false">
      <c r="A46" s="1" t="s">
        <v>218</v>
      </c>
      <c r="B46" s="90" t="n">
        <f aca="false">INDEX(Inputs!$C$81:$E$81,$B$2)</f>
        <v>0.35</v>
      </c>
    </row>
    <row r="47" customFormat="false" ht="15" hidden="false" customHeight="false" outlineLevel="0" collapsed="false">
      <c r="A47" s="1" t="s">
        <v>219</v>
      </c>
      <c r="B47" s="89" t="n">
        <f aca="false">INDEX(Inputs!$C$82:$E$82,$B$2)</f>
        <v>40</v>
      </c>
    </row>
    <row r="48" customFormat="false" ht="15" hidden="false" customHeight="false" outlineLevel="0" collapsed="false">
      <c r="A48" s="1" t="s">
        <v>221</v>
      </c>
      <c r="B48" s="67" t="n">
        <f aca="false">INDEX(Inputs!$C$83:$E$83,$B$2)</f>
        <v>1.1</v>
      </c>
    </row>
    <row r="49" customFormat="false" ht="15" hidden="false" customHeight="false" outlineLevel="0" collapsed="false">
      <c r="A49" s="1" t="s">
        <v>223</v>
      </c>
      <c r="B49" s="91" t="n">
        <f aca="false">INDEX(Inputs!$C$84:$E$84,$B$2)</f>
        <v>0.4</v>
      </c>
    </row>
    <row r="50" customFormat="false" ht="15" hidden="false" customHeight="false" outlineLevel="0" collapsed="false">
      <c r="A50" s="1" t="s">
        <v>225</v>
      </c>
      <c r="B50" s="89" t="n">
        <f aca="false">INDEX(Inputs!$C$86:$E$86,$B$2)</f>
        <v>0.5</v>
      </c>
    </row>
    <row r="51" customFormat="false" ht="15" hidden="false" customHeight="false" outlineLevel="0" collapsed="false">
      <c r="A51" s="1" t="s">
        <v>227</v>
      </c>
      <c r="B51" s="72" t="n">
        <f aca="false">INDEX(Inputs!$C$87:$E$87,$B$2)</f>
        <v>2040</v>
      </c>
    </row>
    <row r="52" customFormat="false" ht="15" hidden="false" customHeight="false" outlineLevel="0" collapsed="false">
      <c r="A52" s="1" t="s">
        <v>228</v>
      </c>
      <c r="B52" s="90" t="n">
        <f aca="false">INDEX(Inputs!$C$88:$E$88,$B$2)</f>
        <v>0.35</v>
      </c>
    </row>
    <row r="53" customFormat="false" ht="15" hidden="false" customHeight="false" outlineLevel="0" collapsed="false">
      <c r="A53" s="1" t="s">
        <v>229</v>
      </c>
      <c r="B53" s="89" t="n">
        <f aca="false">INDEX(Inputs!$C$89:$E$89,$B$2)</f>
        <v>30</v>
      </c>
    </row>
    <row r="54" customFormat="false" ht="15" hidden="false" customHeight="false" outlineLevel="0" collapsed="false">
      <c r="A54" s="1" t="s">
        <v>231</v>
      </c>
      <c r="B54" s="91" t="n">
        <f aca="false">INDEX(Inputs!$C$90:$E$90,$B$2)</f>
        <v>0.2</v>
      </c>
    </row>
    <row r="55" customFormat="false" ht="15" hidden="false" customHeight="false" outlineLevel="0" collapsed="false">
      <c r="A55" s="1" t="s">
        <v>233</v>
      </c>
      <c r="B55" s="93" t="n">
        <f aca="false">INDEX(Inputs!$C$92:$E$92,$B$2)</f>
        <v>200</v>
      </c>
    </row>
    <row r="56" customFormat="false" ht="15" hidden="false" customHeight="false" outlineLevel="0" collapsed="false">
      <c r="A56" s="1" t="s">
        <v>236</v>
      </c>
      <c r="B56" s="72" t="n">
        <f aca="false">INDEX(Inputs!$C$93:$E$93,$B$2)</f>
        <v>2035</v>
      </c>
    </row>
    <row r="57" customFormat="false" ht="15" hidden="false" customHeight="false" outlineLevel="0" collapsed="false">
      <c r="A57" s="1" t="s">
        <v>237</v>
      </c>
      <c r="B57" s="90" t="n">
        <f aca="false">INDEX(Inputs!$C$94:$E$94,$B$2)</f>
        <v>0.25</v>
      </c>
    </row>
    <row r="58" customFormat="false" ht="15" hidden="false" customHeight="false" outlineLevel="0" collapsed="false">
      <c r="A58" s="1" t="s">
        <v>238</v>
      </c>
      <c r="B58" s="92" t="n">
        <f aca="false">INDEX(Inputs!$C$95:$E$95,$B$2)</f>
        <v>140</v>
      </c>
    </row>
    <row r="59" customFormat="false" ht="15" hidden="false" customHeight="false" outlineLevel="0" collapsed="false">
      <c r="A59" s="1" t="s">
        <v>239</v>
      </c>
      <c r="B59" s="91" t="n">
        <f aca="false">INDEX(Inputs!$C$96:$E$96,$B$2)</f>
        <v>0.18</v>
      </c>
    </row>
    <row r="60" customFormat="false" ht="15" hidden="false" customHeight="false" outlineLevel="0" collapsed="false">
      <c r="A60" s="1" t="s">
        <v>242</v>
      </c>
      <c r="B60" s="91" t="n">
        <f aca="false">INDEX(Inputs!$C$98:$E$98,$B$2)</f>
        <v>0.06</v>
      </c>
    </row>
    <row r="61" customFormat="false" ht="15" hidden="false" customHeight="false" outlineLevel="0" collapsed="false">
      <c r="A61" s="1" t="s">
        <v>243</v>
      </c>
      <c r="B61" s="91" t="n">
        <f aca="false">INDEX(Inputs!$C$99:$E$99,$B$2)</f>
        <v>0.12</v>
      </c>
    </row>
    <row r="62" customFormat="false" ht="15" hidden="false" customHeight="false" outlineLevel="0" collapsed="false">
      <c r="A62" s="1" t="s">
        <v>244</v>
      </c>
      <c r="B62" s="94" t="n">
        <f aca="false">INDEX(Inputs!$C$100:$E$100,$B$2)</f>
        <v>22</v>
      </c>
    </row>
    <row r="63" customFormat="false" ht="15" hidden="false" customHeight="false" outlineLevel="0" collapsed="false">
      <c r="A63" s="1" t="s">
        <v>245</v>
      </c>
      <c r="B63" s="94" t="n">
        <f aca="false">INDEX(Inputs!$C$101:$E$101,$B$2)</f>
        <v>12</v>
      </c>
    </row>
    <row r="64" customFormat="false" ht="15" hidden="false" customHeight="false" outlineLevel="0" collapsed="false">
      <c r="A64" s="1" t="s">
        <v>246</v>
      </c>
      <c r="B64" s="91" t="n">
        <f aca="false">INDEX(Inputs!$C$102:$E$102,$B$2)</f>
        <v>0.015</v>
      </c>
    </row>
    <row r="65" customFormat="false" ht="15" hidden="false" customHeight="false" outlineLevel="0" collapsed="false">
      <c r="A65" s="1" t="s">
        <v>248</v>
      </c>
      <c r="B65" s="93" t="n">
        <f aca="false">INDEX(Inputs!$C$104:$E$104,$B$2)</f>
        <v>400</v>
      </c>
    </row>
    <row r="66" customFormat="false" ht="15" hidden="false" customHeight="false" outlineLevel="0" collapsed="false">
      <c r="A66" s="1" t="s">
        <v>251</v>
      </c>
      <c r="B66" s="72" t="n">
        <f aca="false">INDEX(Inputs!$C$105:$E$105,$B$2)</f>
        <v>2035</v>
      </c>
    </row>
    <row r="67" customFormat="false" ht="15" hidden="false" customHeight="false" outlineLevel="0" collapsed="false">
      <c r="A67" s="1" t="s">
        <v>252</v>
      </c>
      <c r="B67" s="90" t="n">
        <f aca="false">INDEX(Inputs!$C$106:$E$106,$B$2)</f>
        <v>0.35</v>
      </c>
    </row>
    <row r="68" customFormat="false" ht="15" hidden="false" customHeight="false" outlineLevel="0" collapsed="false">
      <c r="A68" s="1" t="s">
        <v>253</v>
      </c>
      <c r="B68" s="91" t="n">
        <f aca="false">INDEX(Inputs!$C$107:$E$107,$B$2)</f>
        <v>0.3</v>
      </c>
    </row>
    <row r="69" customFormat="false" ht="15" hidden="false" customHeight="false" outlineLevel="0" collapsed="false">
      <c r="A69" s="1" t="s">
        <v>255</v>
      </c>
      <c r="B69" s="91" t="n">
        <f aca="false">INDEX(Inputs!$C$108:$E$108,$B$2)</f>
        <v>0.025</v>
      </c>
    </row>
    <row r="70" customFormat="false" ht="15" hidden="false" customHeight="false" outlineLevel="0" collapsed="false">
      <c r="A70" s="1" t="s">
        <v>257</v>
      </c>
      <c r="B70" s="91" t="n">
        <f aca="false">INDEX(Inputs!$C$109:$E$109,$B$2)</f>
        <v>0</v>
      </c>
    </row>
  </sheetData>
  <conditionalFormatting sqref="A8:AP28">
    <cfRule type="expression" priority="2" aboveAverage="0" equalAverage="0" bottom="0" percent="0" rank="0" text="" dxfId="7">
      <formula>AND(Inputs!$B$19="Yes",$A8=Inputs!$B$20)</formula>
    </cfRule>
  </conditionalFormatting>
  <conditionalFormatting sqref="AN8:AN28">
    <cfRule type="dataBar" priority="3">
      <dataBar showValue="1" minLength="10" maxLength="90">
        <cfvo type="num" val="0"/>
        <cfvo type="max" val="0"/>
        <color rgb="FF63BE7B"/>
      </dataBar>
      <extLst>
        <ext xmlns:x14="http://schemas.microsoft.com/office/spreadsheetml/2009/9/main" uri="{B025F937-C7B1-47D3-B67F-A62EFF666E3E}">
          <x14:id>{7AC1E0A2-DB9D-4178-AAFA-9254ED558FC1}</x14:id>
        </ext>
      </extLst>
    </cfRule>
  </conditionalFormatting>
  <conditionalFormatting sqref="AP8:AP28">
    <cfRule type="colorScale" priority="4">
      <colorScale>
        <cfvo type="num" val="0"/>
        <cfvo type="num" val="1"/>
        <cfvo type="max" val="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C1E0A2-DB9D-4178-AAFA-9254ED558FC1}">
            <x14:dataBar minLength="10" maxLength="90" axisPosition="none" gradient="true">
              <x14:cfvo type="num">
                <xm:f>0</xm:f>
              </x14:cfvo>
              <x14:cfvo type="max"/>
              <x14:negativeFillColor rgb="FF63BE7B"/>
              <x14:axisColor rgb="FF000000"/>
            </x14:dataBar>
          </x14:cfRule>
          <xm:sqref>AN8:AN28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  <col collapsed="false" customWidth="true" hidden="false" outlineLevel="0" max="3" min="3" style="1" width="13"/>
    <col collapsed="false" customWidth="true" hidden="false" outlineLevel="0" max="4" min="4" style="1" width="80"/>
  </cols>
  <sheetData>
    <row r="1" customFormat="false" ht="19.7" hidden="false" customHeight="false" outlineLevel="0" collapsed="false">
      <c r="A1" s="31" t="s">
        <v>350</v>
      </c>
    </row>
    <row r="3" customFormat="false" ht="15" hidden="false" customHeight="false" outlineLevel="0" collapsed="false">
      <c r="A3" s="17" t="s">
        <v>351</v>
      </c>
      <c r="B3" s="17" t="s">
        <v>352</v>
      </c>
      <c r="C3" s="17" t="s">
        <v>353</v>
      </c>
      <c r="D3" s="17" t="s">
        <v>354</v>
      </c>
    </row>
    <row r="4" customFormat="false" ht="15" hidden="false" customHeight="false" outlineLevel="0" collapsed="false">
      <c r="A4" s="1" t="s">
        <v>355</v>
      </c>
      <c r="B4" s="1" t="s">
        <v>356</v>
      </c>
      <c r="C4" s="1" t="s">
        <v>83</v>
      </c>
      <c r="D4" s="8" t="s">
        <v>357</v>
      </c>
    </row>
    <row r="5" customFormat="false" ht="15" hidden="false" customHeight="false" outlineLevel="0" collapsed="false">
      <c r="A5" s="1" t="s">
        <v>358</v>
      </c>
      <c r="B5" s="1" t="s">
        <v>359</v>
      </c>
      <c r="C5" s="1" t="s">
        <v>83</v>
      </c>
      <c r="D5" s="8" t="s">
        <v>360</v>
      </c>
    </row>
    <row r="6" customFormat="false" ht="15" hidden="false" customHeight="false" outlineLevel="0" collapsed="false">
      <c r="A6" s="1" t="s">
        <v>361</v>
      </c>
      <c r="B6" s="1" t="s">
        <v>362</v>
      </c>
      <c r="C6" s="1" t="s">
        <v>83</v>
      </c>
      <c r="D6" s="8" t="s">
        <v>363</v>
      </c>
    </row>
    <row r="7" customFormat="false" ht="15" hidden="false" customHeight="false" outlineLevel="0" collapsed="false">
      <c r="A7" s="1" t="s">
        <v>364</v>
      </c>
      <c r="B7" s="1" t="s">
        <v>365</v>
      </c>
      <c r="C7" s="1" t="s">
        <v>366</v>
      </c>
      <c r="D7" s="8" t="s">
        <v>367</v>
      </c>
    </row>
    <row r="8" customFormat="false" ht="15" hidden="false" customHeight="false" outlineLevel="0" collapsed="false">
      <c r="A8" s="1" t="s">
        <v>368</v>
      </c>
      <c r="B8" s="1" t="s">
        <v>369</v>
      </c>
      <c r="C8" s="1" t="s">
        <v>370</v>
      </c>
      <c r="D8" s="8" t="s">
        <v>371</v>
      </c>
    </row>
    <row r="9" customFormat="false" ht="15" hidden="false" customHeight="false" outlineLevel="0" collapsed="false">
      <c r="A9" s="1" t="s">
        <v>372</v>
      </c>
      <c r="B9" s="1" t="s">
        <v>373</v>
      </c>
      <c r="C9" s="1" t="s">
        <v>374</v>
      </c>
      <c r="D9" s="8" t="s">
        <v>375</v>
      </c>
    </row>
    <row r="10" customFormat="false" ht="15" hidden="false" customHeight="false" outlineLevel="0" collapsed="false">
      <c r="A10" s="1" t="s">
        <v>376</v>
      </c>
      <c r="B10" s="1" t="s">
        <v>377</v>
      </c>
      <c r="C10" s="1" t="s">
        <v>378</v>
      </c>
      <c r="D10" s="8" t="s">
        <v>379</v>
      </c>
    </row>
    <row r="11" customFormat="false" ht="15" hidden="false" customHeight="false" outlineLevel="0" collapsed="false">
      <c r="A11" s="1" t="s">
        <v>380</v>
      </c>
      <c r="B11" s="1" t="s">
        <v>381</v>
      </c>
      <c r="C11" s="1" t="s">
        <v>382</v>
      </c>
      <c r="D11" s="8" t="s">
        <v>383</v>
      </c>
    </row>
    <row r="12" customFormat="false" ht="15" hidden="false" customHeight="false" outlineLevel="0" collapsed="false">
      <c r="A12" s="1" t="s">
        <v>384</v>
      </c>
      <c r="B12" s="1" t="s">
        <v>385</v>
      </c>
      <c r="C12" s="1" t="s">
        <v>386</v>
      </c>
      <c r="D12" s="8" t="s">
        <v>387</v>
      </c>
    </row>
    <row r="13" customFormat="false" ht="15" hidden="false" customHeight="false" outlineLevel="0" collapsed="false">
      <c r="A13" s="1" t="s">
        <v>388</v>
      </c>
      <c r="B13" s="1" t="s">
        <v>389</v>
      </c>
      <c r="C13" s="1" t="s">
        <v>390</v>
      </c>
      <c r="D13" s="8" t="s">
        <v>391</v>
      </c>
    </row>
    <row r="14" customFormat="false" ht="15" hidden="false" customHeight="false" outlineLevel="0" collapsed="false">
      <c r="A14" s="1" t="s">
        <v>392</v>
      </c>
      <c r="B14" s="1" t="s">
        <v>393</v>
      </c>
      <c r="C14" s="1" t="s">
        <v>394</v>
      </c>
      <c r="D14" s="8" t="s">
        <v>395</v>
      </c>
    </row>
    <row r="15" customFormat="false" ht="15" hidden="false" customHeight="false" outlineLevel="0" collapsed="false">
      <c r="A15" s="1" t="s">
        <v>396</v>
      </c>
      <c r="B15" s="1" t="s">
        <v>397</v>
      </c>
      <c r="C15" s="1" t="s">
        <v>398</v>
      </c>
      <c r="D15" s="8" t="s">
        <v>399</v>
      </c>
    </row>
    <row r="16" customFormat="false" ht="15" hidden="false" customHeight="false" outlineLevel="0" collapsed="false">
      <c r="A16" s="1" t="s">
        <v>400</v>
      </c>
      <c r="B16" s="1" t="s">
        <v>401</v>
      </c>
      <c r="C16" s="1" t="s">
        <v>402</v>
      </c>
      <c r="D16" s="8" t="s">
        <v>403</v>
      </c>
    </row>
    <row r="17" customFormat="false" ht="15" hidden="false" customHeight="false" outlineLevel="0" collapsed="false">
      <c r="A17" s="1" t="s">
        <v>404</v>
      </c>
      <c r="B17" s="1" t="s">
        <v>405</v>
      </c>
      <c r="C17" s="1" t="s">
        <v>406</v>
      </c>
      <c r="D17" s="8" t="s">
        <v>407</v>
      </c>
    </row>
    <row r="18" customFormat="false" ht="15" hidden="false" customHeight="false" outlineLevel="0" collapsed="false">
      <c r="A18" s="1" t="s">
        <v>408</v>
      </c>
      <c r="B18" s="1" t="s">
        <v>409</v>
      </c>
      <c r="C18" s="1" t="s">
        <v>374</v>
      </c>
      <c r="D18" s="8" t="s">
        <v>410</v>
      </c>
    </row>
    <row r="19" customFormat="false" ht="15" hidden="false" customHeight="false" outlineLevel="0" collapsed="false">
      <c r="A19" s="1" t="s">
        <v>411</v>
      </c>
      <c r="B19" s="1" t="s">
        <v>412</v>
      </c>
      <c r="C19" s="1" t="s">
        <v>413</v>
      </c>
      <c r="D19" s="8" t="s">
        <v>414</v>
      </c>
    </row>
    <row r="20" customFormat="false" ht="15" hidden="false" customHeight="false" outlineLevel="0" collapsed="false">
      <c r="A20" s="1" t="s">
        <v>415</v>
      </c>
      <c r="B20" s="1" t="s">
        <v>416</v>
      </c>
      <c r="C20" s="1" t="s">
        <v>417</v>
      </c>
      <c r="D20" s="8" t="s">
        <v>418</v>
      </c>
    </row>
    <row r="21" customFormat="false" ht="15" hidden="false" customHeight="false" outlineLevel="0" collapsed="false">
      <c r="A21" s="1" t="s">
        <v>419</v>
      </c>
      <c r="B21" s="1" t="s">
        <v>420</v>
      </c>
      <c r="C21" s="1" t="s">
        <v>421</v>
      </c>
      <c r="D21" s="8" t="s">
        <v>422</v>
      </c>
    </row>
    <row r="22" customFormat="false" ht="15" hidden="false" customHeight="false" outlineLevel="0" collapsed="false">
      <c r="A22" s="1" t="s">
        <v>423</v>
      </c>
      <c r="B22" s="1" t="s">
        <v>424</v>
      </c>
      <c r="C22" s="1" t="s">
        <v>425</v>
      </c>
      <c r="D22" s="8" t="s">
        <v>426</v>
      </c>
    </row>
    <row r="23" customFormat="false" ht="15" hidden="false" customHeight="false" outlineLevel="0" collapsed="false">
      <c r="A23" s="1" t="s">
        <v>427</v>
      </c>
      <c r="B23" s="1" t="s">
        <v>428</v>
      </c>
      <c r="C23" s="1" t="s">
        <v>429</v>
      </c>
      <c r="D23" s="8" t="s">
        <v>430</v>
      </c>
    </row>
    <row r="24" customFormat="false" ht="15" hidden="false" customHeight="false" outlineLevel="0" collapsed="false">
      <c r="A24" s="1" t="s">
        <v>431</v>
      </c>
      <c r="B24" s="1" t="s">
        <v>432</v>
      </c>
      <c r="C24" s="1" t="s">
        <v>433</v>
      </c>
      <c r="D24" s="8" t="s">
        <v>434</v>
      </c>
    </row>
    <row r="25" customFormat="false" ht="15" hidden="false" customHeight="false" outlineLevel="0" collapsed="false">
      <c r="A25" s="1" t="s">
        <v>435</v>
      </c>
      <c r="B25" s="1" t="s">
        <v>436</v>
      </c>
      <c r="C25" s="1" t="s">
        <v>437</v>
      </c>
      <c r="D25" s="8" t="s">
        <v>438</v>
      </c>
    </row>
    <row r="26" customFormat="false" ht="15" hidden="false" customHeight="false" outlineLevel="0" collapsed="false">
      <c r="A26" s="1" t="s">
        <v>439</v>
      </c>
      <c r="B26" s="1" t="s">
        <v>440</v>
      </c>
      <c r="C26" s="1" t="s">
        <v>441</v>
      </c>
      <c r="D26" s="8" t="s">
        <v>442</v>
      </c>
    </row>
    <row r="27" customFormat="false" ht="15" hidden="false" customHeight="false" outlineLevel="0" collapsed="false">
      <c r="A27" s="1" t="s">
        <v>443</v>
      </c>
      <c r="B27" s="1" t="s">
        <v>444</v>
      </c>
      <c r="C27" s="1" t="s">
        <v>445</v>
      </c>
      <c r="D27" s="1" t="s">
        <v>446</v>
      </c>
    </row>
    <row r="29" customFormat="false" ht="15" hidden="false" customHeight="false" outlineLevel="0" collapsed="false">
      <c r="A29" s="4" t="s">
        <v>447</v>
      </c>
    </row>
    <row r="30" customFormat="false" ht="15" hidden="false" customHeight="false" outlineLevel="0" collapsed="false">
      <c r="A30" s="1" t="s">
        <v>448</v>
      </c>
      <c r="B30" s="1" t="s">
        <v>449</v>
      </c>
    </row>
    <row r="31" customFormat="false" ht="15" hidden="false" customHeight="false" outlineLevel="0" collapsed="false">
      <c r="A31" s="1" t="s">
        <v>448</v>
      </c>
      <c r="B31" s="1" t="s">
        <v>450</v>
      </c>
    </row>
    <row r="32" customFormat="false" ht="15" hidden="false" customHeight="false" outlineLevel="0" collapsed="false">
      <c r="A32" s="1" t="s">
        <v>448</v>
      </c>
      <c r="B32" s="1" t="s">
        <v>451</v>
      </c>
    </row>
    <row r="33" customFormat="false" ht="15" hidden="false" customHeight="false" outlineLevel="0" collapsed="false">
      <c r="A33" s="1" t="s">
        <v>448</v>
      </c>
      <c r="B33" s="1" t="s">
        <v>452</v>
      </c>
    </row>
    <row r="34" customFormat="false" ht="15" hidden="false" customHeight="false" outlineLevel="0" collapsed="false">
      <c r="A34" s="1" t="s">
        <v>448</v>
      </c>
      <c r="B34" s="1" t="s">
        <v>453</v>
      </c>
    </row>
  </sheetData>
  <hyperlinks>
    <hyperlink ref="D4" r:id="rId1" display="https://stockanalysis.com/stocks/tsla/history/"/>
    <hyperlink ref="D5" r:id="rId2" display="https://www.cnbc.com/quotes/SPCX"/>
    <hyperlink ref="D6" r:id="rId3" display="https://www.exchangerates.org.uk/GBP-USD-exchange-rate-history.html"/>
    <hyperlink ref="D7" r:id="rId4" display="https://www.sec.gov/Archives/edgar/data/1318605/000162828026049270/tsla-20260630.htm"/>
    <hyperlink ref="D8" r:id="rId5" display="https://www.sec.gov/Archives/edgar/data/1318605/000162828026064366/exhibit991111111.htm"/>
    <hyperlink ref="D9" r:id="rId6" display="https://fortune.com/company-assets/1900/quartr/slides-31912339a9c7d4acc7a371cc8cfa6e43-2026-07-22-20-08-25.pdf"/>
    <hyperlink ref="D10" r:id="rId7" display="https://assets-ir.tesla.com/tesla-contents/IR/TSLA-Q4-2025-Update.pdf"/>
    <hyperlink ref="D11" r:id="rId8" display="https://www.sec.gov/Archives/edgar/data/1318605/000110465925108507/tm2530590d1_ex10-2.htm"/>
    <hyperlink ref="D12" r:id="rId9" display="https://www.reuters.com/legal/transactional/tesla-shareholders-approve-878-billion-pay-plan-elon-musk-2025-11-06/"/>
    <hyperlink ref="D13" r:id="rId10" display="https://www.tesla.com/master-plan-part-4"/>
    <hyperlink ref="D14" r:id="rId11" display="https://www.tesla.com/master-plan-part-3"/>
    <hyperlink ref="D15" r:id="rId12" display="https://www.reuters.com/business/autos-transportation/tesla-drops-reference-its-goal-delivering-20-mln-vehicles-annually-impact-report-2024-05-23/"/>
    <hyperlink ref="D16" r:id="rId13" display="https://www.allthings-elon.com/articles/tesla-optimus-10-million-annual-target-elluswamy-2026-08-01"/>
    <hyperlink ref="D17" r:id="rId14" display="https://eletric-vehicles.com/tesla/tesla-targets-at-least-2-million-cybercabs-produced-in-2026-musk-says/"/>
    <hyperlink ref="D18" r:id="rId15" display="https://transcripts.platformaeronaut.com/transcripts/TSLA-2Q26-transcript"/>
    <hyperlink ref="D19" r:id="rId16" display="https://electrek.co/2026/01/14/tesla-tsla-stop-selling-full-self-driving-package-subscription-only/"/>
    <hyperlink ref="D20" r:id="rId17" display="https://static.poder360.com.br/uploads/2026/08/SpaceX-Reports-Second-Quarter-2026-Results.pdf"/>
    <hyperlink ref="D21" r:id="rId18" display="https://finance.yahoo.com/markets/stocks/articles/spacex-spcx-q2-2026-earnings-004252131.html"/>
    <hyperlink ref="D22" r:id="rId19" display="https://www.cnbc.com/2026/02/03/musk-xai-spacex-biggest-merger-ever.html"/>
    <hyperlink ref="D23" r:id="rId20" display="https://cryptobriefing.com/spacex-stock-slides-ipo-price/"/>
    <hyperlink ref="D24" r:id="rId21" display="https://247wallst.com/investing/2026/10/05/tesla-is-down-16-this-year-and-bettors-now-favor-a-musk-merger-with-spacex/"/>
    <hyperlink ref="D25" r:id="rId22" display="https://financefeeds.com/tesla-spacex-merger-39-percent-premium-2-trillion-trigger/"/>
    <hyperlink ref="D26" r:id="rId23" display="https://www.morningstar.com/stocks/tesla-reported-china-divestiture-plan-could-clear-path-spacex-merg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80"/>
    <col collapsed="false" customWidth="true" hidden="false" outlineLevel="0" max="3" min="3" style="1" width="60"/>
  </cols>
  <sheetData>
    <row r="1" customFormat="false" ht="19.7" hidden="false" customHeight="false" outlineLevel="0" collapsed="false">
      <c r="A1" s="31" t="s">
        <v>454</v>
      </c>
    </row>
    <row r="3" customFormat="false" ht="15" hidden="false" customHeight="false" outlineLevel="0" collapsed="false">
      <c r="A3" s="17" t="s">
        <v>455</v>
      </c>
      <c r="B3" s="17" t="s">
        <v>456</v>
      </c>
      <c r="C3" s="17" t="s">
        <v>457</v>
      </c>
    </row>
    <row r="4" customFormat="false" ht="15" hidden="false" customHeight="false" outlineLevel="0" collapsed="false">
      <c r="A4" s="95" t="s">
        <v>277</v>
      </c>
      <c r="B4" s="95" t="s">
        <v>458</v>
      </c>
      <c r="C4" s="95" t="s">
        <v>459</v>
      </c>
    </row>
    <row r="5" customFormat="false" ht="15" hidden="false" customHeight="false" outlineLevel="0" collapsed="false">
      <c r="A5" s="95" t="s">
        <v>277</v>
      </c>
      <c r="B5" s="95" t="s">
        <v>460</v>
      </c>
      <c r="C5" s="95" t="s">
        <v>461</v>
      </c>
    </row>
    <row r="6" customFormat="false" ht="15" hidden="false" customHeight="false" outlineLevel="0" collapsed="false">
      <c r="A6" s="95" t="s">
        <v>277</v>
      </c>
      <c r="B6" s="95" t="s">
        <v>462</v>
      </c>
      <c r="C6" s="95" t="s">
        <v>463</v>
      </c>
    </row>
    <row r="7" customFormat="false" ht="15" hidden="false" customHeight="false" outlineLevel="0" collapsed="false">
      <c r="A7" s="95" t="s">
        <v>277</v>
      </c>
      <c r="B7" s="95" t="s">
        <v>464</v>
      </c>
      <c r="C7" s="95" t="s">
        <v>465</v>
      </c>
    </row>
    <row r="8" customFormat="false" ht="15" hidden="false" customHeight="false" outlineLevel="0" collapsed="false">
      <c r="A8" s="95" t="s">
        <v>277</v>
      </c>
      <c r="B8" s="95" t="s">
        <v>466</v>
      </c>
      <c r="C8" s="95" t="s">
        <v>467</v>
      </c>
    </row>
    <row r="9" customFormat="false" ht="25.35" hidden="false" customHeight="false" outlineLevel="0" collapsed="false">
      <c r="A9" s="95" t="s">
        <v>277</v>
      </c>
      <c r="B9" s="95" t="s">
        <v>468</v>
      </c>
      <c r="C9" s="95" t="s">
        <v>469</v>
      </c>
    </row>
    <row r="10" customFormat="false" ht="15" hidden="false" customHeight="false" outlineLevel="0" collapsed="false">
      <c r="A10" s="95" t="s">
        <v>470</v>
      </c>
      <c r="B10" s="95" t="s">
        <v>471</v>
      </c>
      <c r="C10" s="95" t="s">
        <v>472</v>
      </c>
    </row>
    <row r="11" customFormat="false" ht="15" hidden="false" customHeight="false" outlineLevel="0" collapsed="false">
      <c r="A11" s="95" t="s">
        <v>470</v>
      </c>
      <c r="B11" s="95" t="s">
        <v>473</v>
      </c>
      <c r="C11" s="95" t="s">
        <v>474</v>
      </c>
    </row>
    <row r="12" customFormat="false" ht="15" hidden="false" customHeight="false" outlineLevel="0" collapsed="false">
      <c r="A12" s="95" t="s">
        <v>470</v>
      </c>
      <c r="B12" s="95" t="s">
        <v>475</v>
      </c>
      <c r="C12" s="95" t="s">
        <v>476</v>
      </c>
    </row>
    <row r="13" customFormat="false" ht="15" hidden="false" customHeight="false" outlineLevel="0" collapsed="false">
      <c r="A13" s="95" t="s">
        <v>477</v>
      </c>
      <c r="B13" s="95" t="s">
        <v>478</v>
      </c>
      <c r="C13" s="95" t="s">
        <v>479</v>
      </c>
    </row>
    <row r="14" customFormat="false" ht="15" hidden="false" customHeight="false" outlineLevel="0" collapsed="false">
      <c r="A14" s="95" t="s">
        <v>480</v>
      </c>
      <c r="B14" s="95" t="s">
        <v>481</v>
      </c>
      <c r="C14" s="95" t="s">
        <v>482</v>
      </c>
    </row>
    <row r="15" customFormat="false" ht="15" hidden="false" customHeight="false" outlineLevel="0" collapsed="false">
      <c r="A15" s="95" t="s">
        <v>480</v>
      </c>
      <c r="B15" s="95" t="s">
        <v>483</v>
      </c>
      <c r="C15" s="95" t="s">
        <v>484</v>
      </c>
    </row>
    <row r="16" customFormat="false" ht="15" hidden="false" customHeight="false" outlineLevel="0" collapsed="false">
      <c r="A16" s="95" t="s">
        <v>480</v>
      </c>
      <c r="B16" s="95" t="s">
        <v>485</v>
      </c>
      <c r="C16" s="95" t="s">
        <v>486</v>
      </c>
    </row>
    <row r="17" customFormat="false" ht="15" hidden="false" customHeight="false" outlineLevel="0" collapsed="false">
      <c r="A17" s="95" t="s">
        <v>480</v>
      </c>
      <c r="B17" s="95" t="s">
        <v>487</v>
      </c>
      <c r="C17" s="95" t="s">
        <v>488</v>
      </c>
    </row>
    <row r="18" customFormat="false" ht="25.35" hidden="false" customHeight="false" outlineLevel="0" collapsed="false">
      <c r="A18" s="95" t="s">
        <v>489</v>
      </c>
      <c r="B18" s="95" t="s">
        <v>490</v>
      </c>
      <c r="C18" s="95" t="s">
        <v>491</v>
      </c>
    </row>
    <row r="19" customFormat="false" ht="25.35" hidden="false" customHeight="false" outlineLevel="0" collapsed="false">
      <c r="A19" s="95" t="s">
        <v>492</v>
      </c>
      <c r="B19" s="95" t="s">
        <v>493</v>
      </c>
      <c r="C19" s="95" t="s">
        <v>494</v>
      </c>
    </row>
    <row r="20" customFormat="false" ht="15" hidden="false" customHeight="false" outlineLevel="0" collapsed="false">
      <c r="A20" s="95" t="s">
        <v>285</v>
      </c>
      <c r="B20" s="95" t="s">
        <v>495</v>
      </c>
      <c r="C20" s="95" t="s">
        <v>496</v>
      </c>
    </row>
    <row r="21" customFormat="false" ht="15" hidden="false" customHeight="false" outlineLevel="0" collapsed="false">
      <c r="A21" s="95" t="s">
        <v>497</v>
      </c>
      <c r="B21" s="95" t="s">
        <v>498</v>
      </c>
      <c r="C21" s="95" t="s">
        <v>499</v>
      </c>
    </row>
    <row r="22" customFormat="false" ht="15" hidden="false" customHeight="false" outlineLevel="0" collapsed="false">
      <c r="A22" s="95" t="s">
        <v>500</v>
      </c>
      <c r="B22" s="95" t="s">
        <v>501</v>
      </c>
      <c r="C22" s="95" t="s">
        <v>502</v>
      </c>
    </row>
    <row r="23" customFormat="false" ht="25.35" hidden="false" customHeight="false" outlineLevel="0" collapsed="false">
      <c r="A23" s="95" t="s">
        <v>503</v>
      </c>
      <c r="B23" s="95" t="s">
        <v>504</v>
      </c>
      <c r="C23" s="95" t="s">
        <v>505</v>
      </c>
    </row>
    <row r="24" customFormat="false" ht="25.35" hidden="false" customHeight="false" outlineLevel="0" collapsed="false">
      <c r="A24" s="95" t="s">
        <v>503</v>
      </c>
      <c r="B24" s="95" t="s">
        <v>506</v>
      </c>
      <c r="C24" s="95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6.3515625" defaultRowHeight="19.5" customHeight="true" zeroHeight="false" outlineLevelRow="0" outlineLevelCol="0"/>
  <cols>
    <col collapsed="false" customWidth="true" hidden="false" outlineLevel="0" max="1" min="1" style="96" width="10.63"/>
    <col collapsed="false" customWidth="true" hidden="false" outlineLevel="0" max="2" min="2" style="96" width="8.26"/>
    <col collapsed="false" customWidth="true" hidden="false" outlineLevel="0" max="3" min="3" style="96" width="9.42"/>
    <col collapsed="false" customWidth="true" hidden="false" outlineLevel="0" max="4" min="4" style="96" width="8.78"/>
    <col collapsed="false" customWidth="true" hidden="false" outlineLevel="0" max="5" min="5" style="96" width="9.92"/>
    <col collapsed="false" customWidth="true" hidden="false" outlineLevel="0" max="8" min="6" style="96" width="10.91"/>
    <col collapsed="false" customWidth="true" hidden="false" outlineLevel="0" max="9" min="9" style="96" width="10.9"/>
    <col collapsed="false" customWidth="true" hidden="false" outlineLevel="0" max="10" min="10" style="96" width="11.54"/>
    <col collapsed="false" customWidth="true" hidden="false" outlineLevel="0" max="11" min="11" style="96" width="11.46"/>
    <col collapsed="false" customWidth="false" hidden="false" outlineLevel="0" max="16384" min="12" style="96" width="16.35"/>
  </cols>
  <sheetData>
    <row r="1" customFormat="false" ht="27" hidden="false" customHeight="true" outlineLevel="0" collapsed="false">
      <c r="A1" s="97" t="s">
        <v>507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customFormat="false" ht="44.25" hidden="false" customHeight="true" outlineLevel="0" collapsed="false">
      <c r="A2" s="98" t="s">
        <v>508</v>
      </c>
      <c r="B2" s="98" t="s">
        <v>509</v>
      </c>
      <c r="C2" s="98" t="s">
        <v>510</v>
      </c>
      <c r="D2" s="98" t="s">
        <v>511</v>
      </c>
      <c r="E2" s="98" t="s">
        <v>512</v>
      </c>
      <c r="F2" s="98" t="s">
        <v>513</v>
      </c>
      <c r="G2" s="98" t="s">
        <v>514</v>
      </c>
      <c r="H2" s="98" t="s">
        <v>515</v>
      </c>
      <c r="I2" s="98" t="s">
        <v>516</v>
      </c>
      <c r="J2" s="98" t="s">
        <v>517</v>
      </c>
      <c r="K2" s="98" t="s">
        <v>518</v>
      </c>
      <c r="L2" s="99"/>
    </row>
    <row r="3" customFormat="false" ht="32.25" hidden="false" customHeight="true" outlineLevel="0" collapsed="false">
      <c r="A3" s="100" t="s">
        <v>278</v>
      </c>
      <c r="B3" s="101" t="s">
        <v>519</v>
      </c>
      <c r="C3" s="102" t="n">
        <v>276.44</v>
      </c>
      <c r="D3" s="103" t="n">
        <f aca="false">Inputs!$B$9</f>
        <v>375</v>
      </c>
      <c r="E3" s="103" t="n">
        <v>237.11</v>
      </c>
      <c r="F3" s="104" t="n">
        <f aca="false">D3/Inputs!$B$14</f>
        <v>283.468138181268</v>
      </c>
      <c r="G3" s="104" t="n">
        <f aca="false">E3/Inputs!$B$14</f>
        <v>179.235013984428</v>
      </c>
      <c r="H3" s="105" t="n">
        <f aca="false">C3*G3</f>
        <v>49547.7272658553</v>
      </c>
      <c r="I3" s="105" t="n">
        <f aca="false">F3*C3</f>
        <v>78361.9321188299</v>
      </c>
      <c r="J3" s="105" t="n">
        <f aca="false">I3-H3</f>
        <v>28814.2048529745</v>
      </c>
      <c r="K3" s="106" t="n">
        <f aca="false">IFERROR((I3-H3)/H3,0)</f>
        <v>0.581544430854877</v>
      </c>
      <c r="L3" s="107"/>
    </row>
    <row r="4" customFormat="false" ht="31.5" hidden="false" customHeight="true" outlineLevel="0" collapsed="false">
      <c r="A4" s="100" t="s">
        <v>281</v>
      </c>
      <c r="B4" s="108" t="s">
        <v>520</v>
      </c>
      <c r="C4" s="109" t="n">
        <v>0</v>
      </c>
      <c r="D4" s="110" t="n">
        <f aca="false">Inputs!$B$9</f>
        <v>375</v>
      </c>
      <c r="E4" s="110" t="n">
        <v>336.41</v>
      </c>
      <c r="F4" s="111" t="n">
        <f aca="false">D4/Inputs!$B$14</f>
        <v>283.468138181268</v>
      </c>
      <c r="G4" s="111" t="n">
        <f aca="false">E4/Inputs!$B$14</f>
        <v>254.297376974828</v>
      </c>
      <c r="H4" s="112" t="n">
        <f aca="false">C4*G4</f>
        <v>0</v>
      </c>
      <c r="I4" s="112" t="n">
        <f aca="false">F4*C4</f>
        <v>0</v>
      </c>
      <c r="J4" s="112" t="n">
        <f aca="false">I4-H4</f>
        <v>0</v>
      </c>
      <c r="K4" s="113" t="n">
        <f aca="false">IFERROR((I4-H4)/H4,0)</f>
        <v>0</v>
      </c>
      <c r="L4" s="109"/>
    </row>
    <row r="5" customFormat="false" ht="31.5" hidden="false" customHeight="true" outlineLevel="0" collapsed="false">
      <c r="A5" s="100" t="s">
        <v>281</v>
      </c>
      <c r="B5" s="101" t="s">
        <v>519</v>
      </c>
      <c r="C5" s="102" t="n">
        <v>92.04</v>
      </c>
      <c r="D5" s="103" t="n">
        <f aca="false">Inputs!$B$9</f>
        <v>375</v>
      </c>
      <c r="E5" s="114" t="n">
        <v>280.65</v>
      </c>
      <c r="F5" s="104" t="n">
        <f aca="false">D5/Inputs!$B$14</f>
        <v>283.468138181268</v>
      </c>
      <c r="G5" s="104" t="n">
        <f aca="false">E5/Inputs!$B$14</f>
        <v>212.147554614861</v>
      </c>
      <c r="H5" s="105" t="n">
        <f aca="false">C5*G5</f>
        <v>19526.0609267518</v>
      </c>
      <c r="I5" s="105" t="n">
        <f aca="false">F5*C5</f>
        <v>26090.407438204</v>
      </c>
      <c r="J5" s="105" t="n">
        <f aca="false">I5-H5</f>
        <v>6564.34651145212</v>
      </c>
      <c r="K5" s="106" t="n">
        <f aca="false">IFERROR((I5-H5)/H5,0)</f>
        <v>0.336183858898985</v>
      </c>
      <c r="L5" s="102"/>
    </row>
    <row r="6" customFormat="false" ht="19.5" hidden="false" customHeight="true" outlineLevel="0" collapsed="false">
      <c r="A6" s="115" t="s">
        <v>521</v>
      </c>
      <c r="B6" s="116"/>
      <c r="C6" s="116" t="n">
        <f aca="false">SUM(C3:C5)</f>
        <v>368.48</v>
      </c>
      <c r="D6" s="117" t="n">
        <f aca="false">Inputs!$B$9</f>
        <v>375</v>
      </c>
      <c r="E6" s="118" t="n">
        <f aca="false">IFERROR(SUMPRODUCT(C3:C5,E3:E5)/C6,0)</f>
        <v>247.985547112462</v>
      </c>
      <c r="F6" s="111" t="n">
        <f aca="false">D6/Inputs!$B$14</f>
        <v>283.468138181268</v>
      </c>
      <c r="G6" s="111" t="n">
        <f aca="false">E6/Inputs!$B$14</f>
        <v>187.456003562221</v>
      </c>
      <c r="H6" s="119" t="n">
        <f aca="false">SUM(H3:H5)</f>
        <v>69073.7881926072</v>
      </c>
      <c r="I6" s="119" t="n">
        <f aca="false">SUM(I3:I5)</f>
        <v>104452.339557034</v>
      </c>
      <c r="J6" s="119" t="n">
        <f aca="false">SUM(J3:J5)</f>
        <v>35378.5513644266</v>
      </c>
      <c r="K6" s="113" t="n">
        <f aca="false">IFERROR((I6-H6)/H6,0)</f>
        <v>0.512184900960929</v>
      </c>
      <c r="L6" s="116"/>
    </row>
    <row r="7" customFormat="false" ht="19.5" hidden="false" customHeight="true" outlineLevel="0" collapsed="false">
      <c r="A7" s="120"/>
      <c r="B7" s="121"/>
      <c r="C7" s="121"/>
      <c r="D7" s="104"/>
      <c r="E7" s="104"/>
      <c r="F7" s="104"/>
      <c r="G7" s="104"/>
      <c r="H7" s="104"/>
      <c r="I7" s="104"/>
      <c r="J7" s="104"/>
      <c r="K7" s="121"/>
      <c r="L7" s="121"/>
    </row>
    <row r="8" customFormat="false" ht="19.5" hidden="false" customHeight="false" outlineLevel="0" collapsed="false">
      <c r="A8" s="122" t="s">
        <v>522</v>
      </c>
    </row>
  </sheetData>
  <mergeCells count="1">
    <mergeCell ref="A1:L1"/>
  </mergeCells>
  <conditionalFormatting sqref="J3:K6">
    <cfRule type="cellIs" priority="2" operator="lessThan" aboveAverage="0" equalAverage="0" bottom="0" percent="0" rank="0" text="" dxfId="5">
      <formula>0</formula>
    </cfRule>
    <cfRule type="cellIs" priority="3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6.3515625" defaultRowHeight="19.5" customHeight="true" zeroHeight="false" outlineLevelRow="0" outlineLevelCol="0"/>
  <cols>
    <col collapsed="false" customWidth="true" hidden="false" outlineLevel="0" max="1" min="1" style="96" width="1.77"/>
    <col collapsed="false" customWidth="true" hidden="false" outlineLevel="0" max="2" min="2" style="96" width="12.84"/>
    <col collapsed="false" customWidth="true" hidden="false" outlineLevel="0" max="3" min="3" style="96" width="8.26"/>
    <col collapsed="false" customWidth="true" hidden="false" outlineLevel="0" max="4" min="4" style="96" width="9.42"/>
    <col collapsed="false" customWidth="true" hidden="false" outlineLevel="0" max="5" min="5" style="96" width="8.78"/>
    <col collapsed="false" customWidth="true" hidden="false" outlineLevel="0" max="6" min="6" style="96" width="9.92"/>
    <col collapsed="false" customWidth="true" hidden="false" outlineLevel="0" max="9" min="7" style="96" width="10.91"/>
    <col collapsed="false" customWidth="true" hidden="false" outlineLevel="0" max="10" min="10" style="96" width="10.9"/>
    <col collapsed="false" customWidth="true" hidden="false" outlineLevel="0" max="11" min="11" style="96" width="11.54"/>
    <col collapsed="false" customWidth="true" hidden="false" outlineLevel="0" max="12" min="12" style="96" width="11.46"/>
    <col collapsed="false" customWidth="false" hidden="false" outlineLevel="0" max="16384" min="13" style="96" width="16.35"/>
  </cols>
  <sheetData>
    <row r="1" customFormat="false" ht="27" hidden="false" customHeight="true" outlineLevel="0" collapsed="false">
      <c r="B1" s="97" t="s">
        <v>523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customFormat="false" ht="44.25" hidden="false" customHeight="true" outlineLevel="0" collapsed="false">
      <c r="B2" s="98" t="s">
        <v>508</v>
      </c>
      <c r="C2" s="98" t="s">
        <v>509</v>
      </c>
      <c r="D2" s="98" t="s">
        <v>510</v>
      </c>
      <c r="E2" s="98" t="s">
        <v>511</v>
      </c>
      <c r="F2" s="98" t="s">
        <v>512</v>
      </c>
      <c r="G2" s="98" t="s">
        <v>513</v>
      </c>
      <c r="H2" s="98" t="s">
        <v>514</v>
      </c>
      <c r="I2" s="98" t="s">
        <v>515</v>
      </c>
      <c r="J2" s="98" t="s">
        <v>516</v>
      </c>
      <c r="K2" s="98" t="s">
        <v>517</v>
      </c>
      <c r="L2" s="98" t="s">
        <v>518</v>
      </c>
      <c r="M2" s="99"/>
    </row>
    <row r="3" customFormat="false" ht="32.25" hidden="false" customHeight="true" outlineLevel="0" collapsed="false">
      <c r="B3" s="100" t="s">
        <v>524</v>
      </c>
      <c r="C3" s="101" t="s">
        <v>519</v>
      </c>
      <c r="D3" s="102" t="n">
        <v>275.56</v>
      </c>
      <c r="E3" s="103" t="n">
        <f aca="false">Inputs!$B$9</f>
        <v>375</v>
      </c>
      <c r="F3" s="103" t="n">
        <v>237.11</v>
      </c>
      <c r="G3" s="104" t="n">
        <f aca="false">E3/Inputs!$B$14</f>
        <v>283.468138181268</v>
      </c>
      <c r="H3" s="104" t="n">
        <f aca="false">F3/Inputs!$B$14</f>
        <v>179.235013984428</v>
      </c>
      <c r="I3" s="105" t="n">
        <f aca="false">D3*H3</f>
        <v>49390.000453549</v>
      </c>
      <c r="J3" s="105" t="n">
        <f aca="false">G3*D3</f>
        <v>78112.4801572303</v>
      </c>
      <c r="K3" s="105" t="n">
        <f aca="false">J3-I3</f>
        <v>28722.4797036813</v>
      </c>
      <c r="L3" s="106" t="n">
        <f aca="false">IFERROR((J3-I3)/I3,0)</f>
        <v>0.581544430854877</v>
      </c>
      <c r="M3" s="107"/>
    </row>
    <row r="4" customFormat="false" ht="31.5" hidden="false" customHeight="true" outlineLevel="0" collapsed="false">
      <c r="B4" s="100" t="s">
        <v>525</v>
      </c>
      <c r="C4" s="108" t="s">
        <v>520</v>
      </c>
      <c r="D4" s="109" t="n">
        <v>55</v>
      </c>
      <c r="E4" s="110" t="n">
        <f aca="false">Inputs!$B$9</f>
        <v>375</v>
      </c>
      <c r="F4" s="110" t="n">
        <v>336.41</v>
      </c>
      <c r="G4" s="111" t="n">
        <f aca="false">E4/Inputs!$B$14</f>
        <v>283.468138181268</v>
      </c>
      <c r="H4" s="111" t="n">
        <f aca="false">F4/Inputs!$B$14</f>
        <v>254.297376974828</v>
      </c>
      <c r="I4" s="112" t="n">
        <f aca="false">D4*H4</f>
        <v>13986.3557336155</v>
      </c>
      <c r="J4" s="112" t="n">
        <f aca="false">G4*D4</f>
        <v>15590.7475999698</v>
      </c>
      <c r="K4" s="112" t="n">
        <f aca="false">J4-I4</f>
        <v>1604.39186635422</v>
      </c>
      <c r="L4" s="113" t="n">
        <f aca="false">IFERROR((J4-I4)/I4,0)</f>
        <v>0.114711215481109</v>
      </c>
      <c r="M4" s="109"/>
    </row>
    <row r="5" customFormat="false" ht="31.5" hidden="false" customHeight="true" outlineLevel="0" collapsed="false">
      <c r="B5" s="100" t="s">
        <v>526</v>
      </c>
      <c r="C5" s="101" t="s">
        <v>519</v>
      </c>
      <c r="D5" s="102" t="n">
        <v>33.12</v>
      </c>
      <c r="E5" s="103" t="n">
        <f aca="false">Inputs!$B$9</f>
        <v>375</v>
      </c>
      <c r="F5" s="123" t="n">
        <v>280.65</v>
      </c>
      <c r="G5" s="104" t="n">
        <f aca="false">E5/Inputs!$B$14</f>
        <v>283.468138181268</v>
      </c>
      <c r="H5" s="104" t="n">
        <f aca="false">F5/Inputs!$B$14</f>
        <v>212.147554614861</v>
      </c>
      <c r="I5" s="105" t="n">
        <f aca="false">D5*H5</f>
        <v>7026.32700884421</v>
      </c>
      <c r="J5" s="105" t="n">
        <f aca="false">G5*D5</f>
        <v>9388.46473656361</v>
      </c>
      <c r="K5" s="105" t="n">
        <f aca="false">J5-I5</f>
        <v>2362.13772771941</v>
      </c>
      <c r="L5" s="106" t="n">
        <f aca="false">IFERROR((J5-I5)/I5,0)</f>
        <v>0.336183858898985</v>
      </c>
      <c r="M5" s="102"/>
    </row>
    <row r="6" customFormat="false" ht="19.5" hidden="false" customHeight="true" outlineLevel="0" collapsed="false">
      <c r="B6" s="115" t="s">
        <v>521</v>
      </c>
      <c r="C6" s="116"/>
      <c r="D6" s="116" t="n">
        <f aca="false">SUM(D3:D5)</f>
        <v>363.68</v>
      </c>
      <c r="E6" s="117" t="n">
        <f aca="false">Inputs!$B$9</f>
        <v>375</v>
      </c>
      <c r="F6" s="118" t="n">
        <f aca="false">IFERROR(SUMPRODUCT(D3:D5,F3:F5)/D6,0)</f>
        <v>256.092470303564</v>
      </c>
      <c r="G6" s="111" t="n">
        <f aca="false">E6/Inputs!$B$14</f>
        <v>283.468138181268</v>
      </c>
      <c r="H6" s="111" t="n">
        <f aca="false">F6/Inputs!$B$14</f>
        <v>193.584148691181</v>
      </c>
      <c r="I6" s="119" t="n">
        <f aca="false">SUM(I3:I5)</f>
        <v>70402.6831960088</v>
      </c>
      <c r="J6" s="119" t="n">
        <f aca="false">SUM(J3:J5)</f>
        <v>103091.692493764</v>
      </c>
      <c r="K6" s="119" t="n">
        <f aca="false">SUM(K3:K5)</f>
        <v>32689.0092977549</v>
      </c>
      <c r="L6" s="113" t="n">
        <f aca="false">IFERROR((J6-I6)/I6,0)</f>
        <v>0.464314821734069</v>
      </c>
      <c r="M6" s="116"/>
    </row>
    <row r="7" customFormat="false" ht="31.5" hidden="false" customHeight="true" outlineLevel="0" collapsed="false">
      <c r="B7" s="124" t="s">
        <v>527</v>
      </c>
      <c r="C7" s="101" t="s">
        <v>519</v>
      </c>
      <c r="D7" s="121" t="n">
        <v>109.6</v>
      </c>
      <c r="E7" s="103" t="n">
        <f aca="false">Inputs!$B$9</f>
        <v>375</v>
      </c>
      <c r="F7" s="103" t="n">
        <v>349.29</v>
      </c>
      <c r="G7" s="104" t="n">
        <f aca="false">E7/Inputs!$B$14</f>
        <v>283.468138181268</v>
      </c>
      <c r="H7" s="104" t="n">
        <f aca="false">F7/Inputs!$B$14</f>
        <v>264.033562627561</v>
      </c>
      <c r="I7" s="105" t="n">
        <f aca="false">D7*H7</f>
        <v>28938.0784639806</v>
      </c>
      <c r="J7" s="105" t="n">
        <f aca="false">G7*D7</f>
        <v>31068.107944667</v>
      </c>
      <c r="K7" s="105" t="n">
        <f aca="false">J7-I7</f>
        <v>2130.02948068637</v>
      </c>
      <c r="L7" s="106" t="n">
        <f aca="false">IFERROR((J7-I7)/I7,0)</f>
        <v>0.0736064588164563</v>
      </c>
      <c r="M7" s="121"/>
    </row>
    <row r="8" customFormat="false" ht="31.5" hidden="false" customHeight="true" outlineLevel="0" collapsed="false">
      <c r="B8" s="124" t="s">
        <v>528</v>
      </c>
      <c r="C8" s="125" t="s">
        <v>529</v>
      </c>
      <c r="D8" s="126" t="n">
        <v>6</v>
      </c>
      <c r="E8" s="110" t="n">
        <f aca="false">Inputs!$B$9</f>
        <v>375</v>
      </c>
      <c r="F8" s="110" t="n">
        <v>443</v>
      </c>
      <c r="G8" s="111" t="n">
        <f aca="false">E8/Inputs!$B$14</f>
        <v>283.468138181268</v>
      </c>
      <c r="H8" s="111" t="n">
        <f aca="false">F8/Inputs!$B$14</f>
        <v>334.870360571472</v>
      </c>
      <c r="I8" s="112" t="n">
        <f aca="false">D8*H8</f>
        <v>2009.22216342883</v>
      </c>
      <c r="J8" s="112" t="n">
        <f aca="false">G8*D8</f>
        <v>1700.80882908761</v>
      </c>
      <c r="K8" s="112" t="n">
        <f aca="false">J8-I8</f>
        <v>-308.41333434122</v>
      </c>
      <c r="L8" s="113" t="n">
        <f aca="false">IFERROR((J8-I8)/I8,0)</f>
        <v>-0.153498871331828</v>
      </c>
      <c r="M8" s="126"/>
    </row>
    <row r="9" customFormat="false" ht="19.5" hidden="false" customHeight="true" outlineLevel="0" collapsed="false">
      <c r="B9" s="124" t="s">
        <v>521</v>
      </c>
      <c r="C9" s="121"/>
      <c r="D9" s="127" t="n">
        <f aca="false">SUM(D7:D8)</f>
        <v>115.6</v>
      </c>
      <c r="E9" s="128" t="n">
        <f aca="false">Inputs!$B$9</f>
        <v>375</v>
      </c>
      <c r="F9" s="129" t="n">
        <f aca="false">IFERROR(SUMPRODUCT(D7:D8,F7:F8)/D9,0)</f>
        <v>354.15384083045</v>
      </c>
      <c r="G9" s="104" t="n">
        <f aca="false">E9/Inputs!$B$14</f>
        <v>283.468138181268</v>
      </c>
      <c r="H9" s="104" t="n">
        <f aca="false">F9/Inputs!$B$14</f>
        <v>267.710213039874</v>
      </c>
      <c r="I9" s="130" t="n">
        <f aca="false">SUM(I7:I8)</f>
        <v>30947.3006274095</v>
      </c>
      <c r="J9" s="130" t="n">
        <f aca="false">SUM(J7:J8)</f>
        <v>32768.9167737546</v>
      </c>
      <c r="K9" s="130" t="n">
        <f aca="false">SUM(K7:K8)</f>
        <v>1821.61614634515</v>
      </c>
      <c r="L9" s="106" t="n">
        <f aca="false">IFERROR((J9-I9)/I9,0)</f>
        <v>0.0588618751689049</v>
      </c>
      <c r="M9" s="121"/>
    </row>
    <row r="10" customFormat="false" ht="19.5" hidden="false" customHeight="true" outlineLevel="0" collapsed="false">
      <c r="B10" s="131" t="s">
        <v>530</v>
      </c>
      <c r="C10" s="126"/>
      <c r="D10" s="126" t="n">
        <f aca="false">D6+D9</f>
        <v>479.28</v>
      </c>
      <c r="E10" s="117" t="n">
        <f aca="false">Inputs!$B$9</f>
        <v>375</v>
      </c>
      <c r="F10" s="117" t="n">
        <f aca="false">IFERROR(SUMPRODUCT(D3:D5,F3:F5)+SUMPRODUCT(D7:D8,F7:F8),0)/D10</f>
        <v>279.744394925722</v>
      </c>
      <c r="G10" s="111" t="n">
        <f aca="false">E10/Inputs!$B$14</f>
        <v>283.468138181268</v>
      </c>
      <c r="H10" s="111" t="n">
        <f aca="false">F10/Inputs!$B$14</f>
        <v>211.462994123306</v>
      </c>
      <c r="I10" s="111" t="n">
        <f aca="false">I6+I9</f>
        <v>101349.983823418</v>
      </c>
      <c r="J10" s="111" t="n">
        <f aca="false">J6+J9</f>
        <v>135860.609267518</v>
      </c>
      <c r="K10" s="111" t="n">
        <f aca="false">K6+K9</f>
        <v>34510.6254441001</v>
      </c>
      <c r="L10" s="113" t="n">
        <f aca="false">IFERROR((J10-I10)/I10,0)</f>
        <v>0.340509432189233</v>
      </c>
      <c r="M10" s="126"/>
    </row>
    <row r="12" customFormat="false" ht="19.5" hidden="false" customHeight="false" outlineLevel="0" collapsed="false">
      <c r="B12" s="122" t="s">
        <v>531</v>
      </c>
    </row>
  </sheetData>
  <mergeCells count="1">
    <mergeCell ref="B1:M1"/>
  </mergeCells>
  <conditionalFormatting sqref="K3:L10">
    <cfRule type="cellIs" priority="2" operator="lessThan" aboveAverage="0" equalAverage="0" bottom="0" percent="0" rank="0" text="" dxfId="5">
      <formula>0</formula>
    </cfRule>
    <cfRule type="cellIs" priority="3" operator="greater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6.3515625" defaultRowHeight="19.5" customHeight="true" zeroHeight="false" outlineLevelRow="0" outlineLevelCol="0"/>
  <cols>
    <col collapsed="false" customWidth="true" hidden="false" outlineLevel="0" max="1" min="1" style="96" width="11.64"/>
    <col collapsed="false" customWidth="true" hidden="false" outlineLevel="0" max="2" min="2" style="96" width="13.12"/>
    <col collapsed="false" customWidth="true" hidden="false" outlineLevel="0" max="3" min="3" style="96" width="9.94"/>
    <col collapsed="false" customWidth="true" hidden="false" outlineLevel="0" max="4" min="4" style="96" width="8.78"/>
    <col collapsed="false" customWidth="true" hidden="false" outlineLevel="0" max="5" min="5" style="96" width="10.91"/>
    <col collapsed="false" customWidth="true" hidden="false" outlineLevel="0" max="6" min="6" style="96" width="8.29"/>
    <col collapsed="false" customWidth="true" hidden="false" outlineLevel="0" max="7" min="7" style="96" width="9.99"/>
    <col collapsed="false" customWidth="true" hidden="false" outlineLevel="0" max="8" min="8" style="96" width="11.54"/>
    <col collapsed="false" customWidth="true" hidden="false" outlineLevel="0" max="9" min="9" style="96" width="9.99"/>
    <col collapsed="false" customWidth="true" hidden="false" outlineLevel="0" max="10" min="10" style="96" width="11.46"/>
    <col collapsed="false" customWidth="false" hidden="false" outlineLevel="0" max="16384" min="11" style="96" width="16.35"/>
  </cols>
  <sheetData>
    <row r="1" customFormat="false" ht="27" hidden="false" customHeight="true" outlineLevel="0" collapsed="false">
      <c r="A1" s="97" t="s">
        <v>532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customFormat="false" ht="44.25" hidden="false" customHeight="true" outlineLevel="0" collapsed="false">
      <c r="A2" s="98" t="s">
        <v>508</v>
      </c>
      <c r="B2" s="98" t="s">
        <v>533</v>
      </c>
      <c r="C2" s="98" t="s">
        <v>534</v>
      </c>
      <c r="D2" s="98" t="s">
        <v>535</v>
      </c>
      <c r="E2" s="98" t="s">
        <v>515</v>
      </c>
      <c r="F2" s="98" t="s">
        <v>536</v>
      </c>
      <c r="G2" s="98" t="s">
        <v>516</v>
      </c>
      <c r="H2" s="98" t="s">
        <v>517</v>
      </c>
      <c r="I2" s="98" t="s">
        <v>537</v>
      </c>
      <c r="J2" s="98" t="s">
        <v>518</v>
      </c>
      <c r="K2" s="99"/>
    </row>
    <row r="3" customFormat="false" ht="20.25" hidden="false" customHeight="true" outlineLevel="0" collapsed="false">
      <c r="A3" s="132" t="s">
        <v>278</v>
      </c>
      <c r="B3" s="101" t="s">
        <v>519</v>
      </c>
      <c r="C3" s="102" t="n">
        <v>266.48</v>
      </c>
      <c r="D3" s="103" t="n">
        <v>232.97</v>
      </c>
      <c r="E3" s="103" t="n">
        <f aca="false">C3*D3</f>
        <v>62081.8456</v>
      </c>
      <c r="F3" s="103" t="n">
        <f aca="false">Inputs!$B$9</f>
        <v>375</v>
      </c>
      <c r="G3" s="103" t="n">
        <f aca="false">F3*C3</f>
        <v>99930</v>
      </c>
      <c r="H3" s="103" t="n">
        <f aca="false">G3-E3</f>
        <v>37848.1544</v>
      </c>
      <c r="I3" s="104" t="n">
        <f aca="false">H3/Inputs!$B$14</f>
        <v>28609.9889636405</v>
      </c>
      <c r="J3" s="106" t="n">
        <f aca="false">IFERROR((G3-E3)/E3,0)</f>
        <v>0.609649311070095</v>
      </c>
      <c r="K3" s="133"/>
    </row>
    <row r="4" customFormat="false" ht="19.5" hidden="false" customHeight="true" outlineLevel="0" collapsed="false">
      <c r="A4" s="132" t="s">
        <v>281</v>
      </c>
      <c r="B4" s="108" t="s">
        <v>520</v>
      </c>
      <c r="C4" s="109" t="n">
        <v>65.11</v>
      </c>
      <c r="D4" s="110" t="n">
        <v>336.41</v>
      </c>
      <c r="E4" s="110" t="n">
        <f aca="false">C4*D4</f>
        <v>21903.6551</v>
      </c>
      <c r="F4" s="110" t="n">
        <f aca="false">Inputs!$B$9</f>
        <v>375</v>
      </c>
      <c r="G4" s="110" t="n">
        <f aca="false">F4*C4</f>
        <v>24416.25</v>
      </c>
      <c r="H4" s="110" t="n">
        <f aca="false">G4-E4</f>
        <v>2512.5949</v>
      </c>
      <c r="I4" s="111" t="n">
        <f aca="false">H4/Inputs!$B$14</f>
        <v>1899.30826215133</v>
      </c>
      <c r="J4" s="113" t="n">
        <f aca="false">IFERROR((G4-E4)/E4,0)</f>
        <v>0.114711215481109</v>
      </c>
      <c r="K4" s="109"/>
    </row>
    <row r="5" customFormat="false" ht="19.5" hidden="false" customHeight="true" outlineLevel="0" collapsed="false">
      <c r="A5" s="132" t="s">
        <v>281</v>
      </c>
      <c r="B5" s="101" t="s">
        <v>519</v>
      </c>
      <c r="C5" s="102" t="n">
        <v>14.062</v>
      </c>
      <c r="D5" s="123" t="n">
        <v>280.65</v>
      </c>
      <c r="E5" s="103" t="n">
        <f aca="false">C5*D5</f>
        <v>3946.5003</v>
      </c>
      <c r="F5" s="103" t="n">
        <f aca="false">Inputs!$B$9</f>
        <v>375</v>
      </c>
      <c r="G5" s="103" t="n">
        <f aca="false">F5*C5</f>
        <v>5273.25</v>
      </c>
      <c r="H5" s="103" t="n">
        <f aca="false">G5-E5</f>
        <v>1326.7497</v>
      </c>
      <c r="I5" s="104" t="n">
        <f aca="false">H5/Inputs!$B$14</f>
        <v>1002.91004611082</v>
      </c>
      <c r="J5" s="106" t="n">
        <f aca="false">IFERROR((G5-E5)/E5,0)</f>
        <v>0.336183858898985</v>
      </c>
      <c r="K5" s="102"/>
    </row>
    <row r="6" customFormat="false" ht="19.5" hidden="false" customHeight="true" outlineLevel="0" collapsed="false">
      <c r="A6" s="134" t="s">
        <v>521</v>
      </c>
      <c r="B6" s="116"/>
      <c r="C6" s="116" t="n">
        <f aca="false">SUM(C3:C5)</f>
        <v>345.652</v>
      </c>
      <c r="D6" s="135" t="n">
        <f aca="false">IFERROR(E6/C6,0)</f>
        <v>254.394596299168</v>
      </c>
      <c r="E6" s="118" t="n">
        <f aca="false">SUM(E3:E5)</f>
        <v>87932.001</v>
      </c>
      <c r="F6" s="117" t="n">
        <f aca="false">Inputs!$B$9</f>
        <v>375</v>
      </c>
      <c r="G6" s="118" t="n">
        <f aca="false">SUM(G3:G5)</f>
        <v>129619.5</v>
      </c>
      <c r="H6" s="118" t="n">
        <f aca="false">SUM(H3:H5)</f>
        <v>41687.499</v>
      </c>
      <c r="I6" s="119" t="n">
        <f aca="false">SUM(I3:I5)</f>
        <v>31512.2072719026</v>
      </c>
      <c r="J6" s="136" t="n">
        <f aca="false">IFERROR((G6-E6)/E6,0)</f>
        <v>0.474087914819543</v>
      </c>
      <c r="K6" s="116"/>
    </row>
    <row r="7" customFormat="false" ht="19.5" hidden="false" customHeight="true" outlineLevel="0" collapsed="false">
      <c r="A7" s="120"/>
      <c r="B7" s="137" t="s">
        <v>538</v>
      </c>
      <c r="C7" s="121"/>
      <c r="D7" s="104" t="n">
        <f aca="false">D6/Inputs!$B$14</f>
        <v>192.300700203468</v>
      </c>
      <c r="E7" s="104" t="n">
        <f aca="false">E6/Inputs!$B$14</f>
        <v>66469.1216267292</v>
      </c>
      <c r="F7" s="104" t="n">
        <f aca="false">F6/Inputs!$B$14</f>
        <v>283.468138181268</v>
      </c>
      <c r="G7" s="104" t="n">
        <f aca="false">G6/Inputs!$B$14</f>
        <v>97981.3288986318</v>
      </c>
      <c r="H7" s="104" t="n">
        <f aca="false">H6/Inputs!$B$14</f>
        <v>31512.2072719026</v>
      </c>
      <c r="I7" s="121"/>
      <c r="J7" s="121"/>
      <c r="K7" s="121"/>
    </row>
    <row r="8" customFormat="false" ht="43.5" hidden="false" customHeight="true" outlineLevel="0" collapsed="false">
      <c r="A8" s="120"/>
      <c r="B8" s="126"/>
      <c r="C8" s="126"/>
      <c r="D8" s="126"/>
      <c r="E8" s="126"/>
      <c r="F8" s="126"/>
      <c r="G8" s="126"/>
      <c r="H8" s="125" t="str">
        <f aca="false">"$1 increase per share is £"&amp;TEXT(1/Inputs!$B$14,"0.00")</f>
        <v>$1 increase per share is £0.76</v>
      </c>
      <c r="I8" s="125" t="s">
        <v>539</v>
      </c>
      <c r="J8" s="138" t="n">
        <f aca="false">C6/Inputs!$B$14</f>
        <v>261.283543729685</v>
      </c>
      <c r="K8" s="126"/>
    </row>
    <row r="9" customFormat="false" ht="19.5" hidden="false" customHeight="true" outlineLevel="0" collapsed="false">
      <c r="A9" s="120"/>
      <c r="B9" s="121"/>
      <c r="C9" s="121"/>
      <c r="D9" s="121"/>
      <c r="E9" s="121"/>
      <c r="F9" s="121"/>
      <c r="G9" s="121"/>
      <c r="H9" s="121"/>
      <c r="I9" s="121"/>
      <c r="J9" s="121"/>
      <c r="K9" s="121"/>
    </row>
    <row r="10" customFormat="false" ht="19.5" hidden="false" customHeight="true" outlineLevel="0" collapsed="false">
      <c r="A10" s="139" t="s">
        <v>540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</row>
    <row r="11" customFormat="false" ht="19.5" hidden="false" customHeight="true" outlineLevel="0" collapsed="false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1"/>
    </row>
    <row r="12" customFormat="false" ht="19.5" hidden="false" customHeight="true" outlineLevel="0" collapsed="false">
      <c r="A12" s="120"/>
      <c r="B12" s="126"/>
      <c r="C12" s="126"/>
      <c r="D12" s="126"/>
      <c r="E12" s="126"/>
      <c r="F12" s="126"/>
      <c r="G12" s="126"/>
      <c r="H12" s="126"/>
      <c r="I12" s="126"/>
      <c r="J12" s="126"/>
      <c r="K12" s="126"/>
    </row>
    <row r="13" customFormat="false" ht="19.5" hidden="false" customHeight="true" outlineLevel="0" collapsed="false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1"/>
    </row>
    <row r="14" customFormat="false" ht="19.5" hidden="false" customHeight="true" outlineLevel="0" collapsed="false">
      <c r="A14" s="120"/>
      <c r="B14" s="126"/>
      <c r="C14" s="126"/>
      <c r="D14" s="126"/>
      <c r="E14" s="126"/>
      <c r="F14" s="126"/>
      <c r="G14" s="126"/>
      <c r="H14" s="126"/>
      <c r="I14" s="126"/>
      <c r="J14" s="126"/>
      <c r="K14" s="126"/>
    </row>
    <row r="15" customFormat="false" ht="19.5" hidden="false" customHeight="true" outlineLevel="0" collapsed="false">
      <c r="A15" s="120"/>
      <c r="B15" s="121"/>
      <c r="C15" s="121"/>
      <c r="D15" s="121"/>
      <c r="E15" s="121"/>
      <c r="F15" s="121"/>
      <c r="G15" s="121"/>
      <c r="H15" s="121"/>
      <c r="I15" s="121"/>
      <c r="J15" s="121"/>
      <c r="K15" s="121"/>
    </row>
    <row r="16" customFormat="false" ht="19.5" hidden="false" customHeight="true" outlineLevel="0" collapsed="false">
      <c r="A16" s="120"/>
      <c r="B16" s="126"/>
      <c r="C16" s="126"/>
      <c r="D16" s="126"/>
      <c r="E16" s="126"/>
      <c r="F16" s="126"/>
      <c r="G16" s="126"/>
      <c r="H16" s="126"/>
      <c r="I16" s="126"/>
      <c r="J16" s="126"/>
      <c r="K16" s="126"/>
    </row>
    <row r="17" customFormat="false" ht="19.5" hidden="false" customHeight="true" outlineLevel="0" collapsed="false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1"/>
    </row>
    <row r="18" customFormat="false" ht="19.5" hidden="false" customHeight="true" outlineLevel="0" collapsed="false">
      <c r="A18" s="120"/>
      <c r="B18" s="126"/>
      <c r="C18" s="126"/>
      <c r="D18" s="126"/>
      <c r="E18" s="126"/>
      <c r="F18" s="126"/>
      <c r="G18" s="126"/>
      <c r="H18" s="126"/>
      <c r="I18" s="126"/>
      <c r="J18" s="126"/>
      <c r="K18" s="126"/>
    </row>
    <row r="19" customFormat="false" ht="19.5" hidden="false" customHeight="true" outlineLevel="0" collapsed="false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1"/>
    </row>
    <row r="20" customFormat="false" ht="19.5" hidden="false" customHeight="true" outlineLevel="0" collapsed="false">
      <c r="A20" s="120"/>
      <c r="B20" s="126"/>
      <c r="C20" s="126"/>
      <c r="D20" s="126"/>
      <c r="E20" s="126"/>
      <c r="F20" s="126"/>
      <c r="G20" s="126"/>
      <c r="H20" s="126"/>
      <c r="I20" s="126"/>
      <c r="J20" s="126"/>
      <c r="K20" s="126"/>
    </row>
    <row r="21" customFormat="false" ht="19.5" hidden="false" customHeight="true" outlineLevel="0" collapsed="false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1"/>
    </row>
    <row r="22" customFormat="false" ht="19.5" hidden="false" customHeight="true" outlineLevel="0" collapsed="false">
      <c r="A22" s="120"/>
      <c r="B22" s="126"/>
      <c r="C22" s="126"/>
      <c r="D22" s="126"/>
      <c r="E22" s="126"/>
      <c r="F22" s="126"/>
      <c r="G22" s="126"/>
      <c r="H22" s="126"/>
      <c r="I22" s="126"/>
      <c r="J22" s="126"/>
      <c r="K22" s="126"/>
    </row>
    <row r="23" customFormat="false" ht="19.5" hidden="false" customHeight="true" outlineLevel="0" collapsed="false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1"/>
    </row>
    <row r="24" customFormat="false" ht="19.5" hidden="false" customHeight="true" outlineLevel="0" collapsed="false">
      <c r="A24" s="120"/>
      <c r="B24" s="126"/>
      <c r="C24" s="126"/>
      <c r="D24" s="126"/>
      <c r="E24" s="126"/>
      <c r="F24" s="126"/>
      <c r="G24" s="126"/>
      <c r="H24" s="126"/>
      <c r="I24" s="126"/>
      <c r="J24" s="126"/>
      <c r="K24" s="126"/>
    </row>
    <row r="25" customFormat="false" ht="19.5" hidden="false" customHeight="false" outlineLevel="0" collapsed="false"/>
    <row r="26" customFormat="false" ht="27" hidden="false" customHeight="true" outlineLevel="0" collapsed="false">
      <c r="L26" s="97"/>
      <c r="M26" s="97"/>
      <c r="N26" s="97"/>
      <c r="O26" s="97"/>
      <c r="P26" s="97"/>
    </row>
    <row r="27" customFormat="false" ht="20.25" hidden="false" customHeight="true" outlineLevel="0" collapsed="false">
      <c r="L27" s="140"/>
      <c r="M27" s="140"/>
      <c r="N27" s="140"/>
      <c r="O27" s="140"/>
      <c r="P27" s="140"/>
    </row>
    <row r="28" customFormat="false" ht="20.25" hidden="false" customHeight="true" outlineLevel="0" collapsed="false">
      <c r="L28" s="140"/>
      <c r="M28" s="121"/>
      <c r="N28" s="121"/>
      <c r="O28" s="121"/>
      <c r="P28" s="121"/>
    </row>
    <row r="29" customFormat="false" ht="19.5" hidden="false" customHeight="true" outlineLevel="0" collapsed="false">
      <c r="L29" s="140"/>
      <c r="M29" s="121"/>
      <c r="N29" s="121"/>
      <c r="O29" s="121"/>
      <c r="P29" s="121"/>
    </row>
    <row r="30" customFormat="false" ht="19.5" hidden="false" customHeight="true" outlineLevel="0" collapsed="false">
      <c r="L30" s="140"/>
      <c r="M30" s="121"/>
      <c r="N30" s="121"/>
      <c r="O30" s="121"/>
      <c r="P30" s="121"/>
    </row>
    <row r="31" customFormat="false" ht="19.5" hidden="false" customHeight="true" outlineLevel="0" collapsed="false">
      <c r="L31" s="140"/>
      <c r="M31" s="121"/>
      <c r="N31" s="121"/>
      <c r="O31" s="121"/>
      <c r="P31" s="121"/>
    </row>
    <row r="32" customFormat="false" ht="19.5" hidden="false" customHeight="true" outlineLevel="0" collapsed="false">
      <c r="L32" s="140"/>
      <c r="M32" s="121"/>
      <c r="N32" s="121"/>
      <c r="O32" s="121"/>
      <c r="P32" s="121"/>
    </row>
    <row r="33" customFormat="false" ht="19.5" hidden="false" customHeight="true" outlineLevel="0" collapsed="false">
      <c r="L33" s="140"/>
      <c r="M33" s="121"/>
      <c r="N33" s="121"/>
      <c r="O33" s="121"/>
      <c r="P33" s="121"/>
    </row>
    <row r="34" customFormat="false" ht="19.5" hidden="false" customHeight="true" outlineLevel="0" collapsed="false">
      <c r="L34" s="140"/>
      <c r="M34" s="121"/>
      <c r="N34" s="121"/>
      <c r="O34" s="121"/>
      <c r="P34" s="121"/>
    </row>
    <row r="35" customFormat="false" ht="19.5" hidden="false" customHeight="true" outlineLevel="0" collapsed="false">
      <c r="L35" s="140"/>
      <c r="M35" s="121"/>
      <c r="N35" s="121"/>
      <c r="O35" s="121"/>
      <c r="P35" s="121"/>
    </row>
    <row r="36" customFormat="false" ht="19.5" hidden="false" customHeight="true" outlineLevel="0" collapsed="false">
      <c r="L36" s="140"/>
      <c r="M36" s="121"/>
      <c r="N36" s="121"/>
      <c r="O36" s="121"/>
      <c r="P36" s="121"/>
    </row>
  </sheetData>
  <mergeCells count="2">
    <mergeCell ref="A1:K1"/>
    <mergeCell ref="L26:P26"/>
  </mergeCell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20" defaultRowHeight="19.5" customHeight="true" zeroHeight="false" outlineLevelRow="0" outlineLevelCol="0"/>
  <cols>
    <col collapsed="false" customWidth="true" hidden="false" outlineLevel="0" max="1" min="1" style="96" width="34"/>
    <col collapsed="false" customWidth="false" hidden="false" outlineLevel="0" max="16384" min="2" style="96" width="20"/>
  </cols>
  <sheetData>
    <row r="1" customFormat="false" ht="57.75" hidden="false" customHeight="true" outlineLevel="0" collapsed="false">
      <c r="A1" s="97" t="s">
        <v>541</v>
      </c>
      <c r="B1" s="97"/>
    </row>
    <row r="2" customFormat="false" ht="20.25" hidden="false" customHeight="true" outlineLevel="0" collapsed="false">
      <c r="A2" s="141" t="s">
        <v>542</v>
      </c>
      <c r="B2" s="141" t="s">
        <v>75</v>
      </c>
      <c r="C2" s="4" t="s">
        <v>543</v>
      </c>
      <c r="D2" s="4" t="s">
        <v>544</v>
      </c>
    </row>
    <row r="3" customFormat="false" ht="32.25" hidden="false" customHeight="true" outlineLevel="0" collapsed="false">
      <c r="A3" s="141" t="s">
        <v>545</v>
      </c>
      <c r="B3" s="121"/>
    </row>
    <row r="4" customFormat="false" ht="19.5" hidden="false" customHeight="true" outlineLevel="0" collapsed="false">
      <c r="A4" s="141" t="s">
        <v>546</v>
      </c>
      <c r="B4" s="142" t="n">
        <v>2000000</v>
      </c>
    </row>
    <row r="5" customFormat="false" ht="19.5" hidden="false" customHeight="true" outlineLevel="0" collapsed="false">
      <c r="A5" s="141" t="s">
        <v>547</v>
      </c>
      <c r="B5" s="142" t="n">
        <v>100000</v>
      </c>
    </row>
    <row r="6" customFormat="false" ht="19.5" hidden="false" customHeight="true" outlineLevel="0" collapsed="false">
      <c r="A6" s="141" t="s">
        <v>548</v>
      </c>
      <c r="B6" s="143" t="n">
        <v>300</v>
      </c>
      <c r="C6" s="96" t="s">
        <v>549</v>
      </c>
    </row>
    <row r="7" customFormat="false" ht="19.5" hidden="false" customHeight="true" outlineLevel="0" collapsed="false">
      <c r="A7" s="141" t="s">
        <v>550</v>
      </c>
      <c r="B7" s="144" t="n">
        <v>0.5</v>
      </c>
    </row>
    <row r="8" customFormat="false" ht="19.5" hidden="false" customHeight="true" outlineLevel="0" collapsed="false">
      <c r="A8" s="140" t="s">
        <v>551</v>
      </c>
      <c r="B8" s="145" t="s">
        <v>552</v>
      </c>
    </row>
    <row r="9" customFormat="false" ht="31.5" hidden="false" customHeight="true" outlineLevel="0" collapsed="false">
      <c r="A9" s="141" t="s">
        <v>553</v>
      </c>
      <c r="B9" s="146" t="n">
        <f aca="false">IF(B8="Profit",B18,B17)*B6</f>
        <v>30000000000000</v>
      </c>
      <c r="C9" s="96" t="s">
        <v>554</v>
      </c>
      <c r="D9" s="122" t="s">
        <v>555</v>
      </c>
    </row>
    <row r="10" customFormat="false" ht="19.5" hidden="false" customHeight="true" outlineLevel="0" collapsed="false">
      <c r="A10" s="141" t="s">
        <v>556</v>
      </c>
      <c r="B10" s="121"/>
    </row>
    <row r="11" customFormat="false" ht="19.5" hidden="false" customHeight="true" outlineLevel="0" collapsed="false">
      <c r="A11" s="140"/>
      <c r="B11" s="121"/>
    </row>
    <row r="12" customFormat="false" ht="31.5" hidden="false" customHeight="true" outlineLevel="0" collapsed="false">
      <c r="A12" s="141" t="s">
        <v>557</v>
      </c>
      <c r="B12" s="147" t="n">
        <f aca="false">B9/B13</f>
        <v>7595.80706527914</v>
      </c>
      <c r="C12" s="96" t="n">
        <v>25175</v>
      </c>
    </row>
    <row r="13" customFormat="false" ht="31.5" hidden="false" customHeight="true" outlineLevel="0" collapsed="false">
      <c r="A13" s="141" t="s">
        <v>558</v>
      </c>
      <c r="B13" s="148" t="n">
        <f aca="false">Inputs!$B$11*1000000000</f>
        <v>3949547394</v>
      </c>
      <c r="C13" s="96" t="s">
        <v>559</v>
      </c>
      <c r="D13" s="122" t="s">
        <v>560</v>
      </c>
    </row>
    <row r="14" customFormat="false" ht="19.5" hidden="false" customHeight="true" outlineLevel="0" collapsed="false">
      <c r="A14" s="140"/>
      <c r="B14" s="121"/>
    </row>
    <row r="15" customFormat="false" ht="19.5" hidden="false" customHeight="true" outlineLevel="0" collapsed="false">
      <c r="A15" s="141" t="s">
        <v>561</v>
      </c>
      <c r="B15" s="147" t="n">
        <f aca="false">B16+B12</f>
        <v>7970.80706527914</v>
      </c>
      <c r="C15" s="96" t="n">
        <v>25661</v>
      </c>
    </row>
    <row r="16" customFormat="false" ht="31.5" hidden="false" customHeight="true" outlineLevel="0" collapsed="false">
      <c r="A16" s="141" t="s">
        <v>562</v>
      </c>
      <c r="B16" s="149" t="n">
        <f aca="false">Inputs!$B$9</f>
        <v>375</v>
      </c>
      <c r="C16" s="96" t="s">
        <v>563</v>
      </c>
      <c r="D16" s="122" t="s">
        <v>564</v>
      </c>
    </row>
    <row r="17" customFormat="false" ht="19.5" hidden="false" customHeight="true" outlineLevel="0" collapsed="false">
      <c r="A17" s="140" t="s">
        <v>565</v>
      </c>
      <c r="B17" s="150" t="n">
        <f aca="false">B4*B5</f>
        <v>200000000000</v>
      </c>
    </row>
    <row r="18" customFormat="false" ht="31.5" hidden="false" customHeight="true" outlineLevel="0" collapsed="false">
      <c r="A18" s="141" t="s">
        <v>566</v>
      </c>
      <c r="B18" s="150" t="n">
        <f aca="false">B17*B7</f>
        <v>100000000000</v>
      </c>
      <c r="C18" s="96" t="n">
        <v>139720000000</v>
      </c>
      <c r="D18" s="122" t="s">
        <v>567</v>
      </c>
    </row>
    <row r="19" customFormat="false" ht="19.5" hidden="false" customHeight="true" outlineLevel="0" collapsed="false">
      <c r="A19" s="141" t="s">
        <v>568</v>
      </c>
      <c r="B19" s="151" t="n">
        <f aca="false">B7</f>
        <v>0.5</v>
      </c>
    </row>
    <row r="20" customFormat="false" ht="103.5" hidden="false" customHeight="true" outlineLevel="0" collapsed="false">
      <c r="A20" s="141" t="s">
        <v>569</v>
      </c>
      <c r="B20" s="152" t="s">
        <v>532</v>
      </c>
    </row>
    <row r="21" customFormat="false" ht="19.5" hidden="false" customHeight="true" outlineLevel="0" collapsed="false">
      <c r="A21" s="140"/>
      <c r="B21" s="121"/>
    </row>
    <row r="22" customFormat="false" ht="19.5" hidden="false" customHeight="true" outlineLevel="0" collapsed="false">
      <c r="A22" s="140"/>
      <c r="B22" s="121"/>
    </row>
    <row r="23" customFormat="false" ht="19.5" hidden="false" customHeight="true" outlineLevel="0" collapsed="false">
      <c r="A23" s="140"/>
      <c r="B23" s="121"/>
    </row>
  </sheetData>
  <mergeCells count="1">
    <mergeCell ref="A1:B1"/>
  </mergeCells>
  <dataValidations count="1">
    <dataValidation allowBlank="false" errorStyle="stop" operator="between" showDropDown="false" showErrorMessage="false" showInputMessage="false" sqref="B8" type="list">
      <formula1>"Profit,Revenue"</formula1>
      <formula2>0</formula2>
    </dataValidation>
  </dataValidations>
  <hyperlinks>
    <hyperlink ref="B20" r:id="rId1" display="https://www.youtube.com/live/05Q876varGE?si=USo_jcTC7ZKefdZ1"/>
  </hyperlink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8" defaultRowHeight="19.5" customHeight="true" zeroHeight="false" outlineLevelRow="0" outlineLevelCol="0"/>
  <cols>
    <col collapsed="false" customWidth="true" hidden="false" outlineLevel="0" max="1" min="1" style="96" width="6.42"/>
    <col collapsed="false" customWidth="true" hidden="false" outlineLevel="0" max="2" min="2" style="96" width="5.3"/>
    <col collapsed="false" customWidth="true" hidden="false" outlineLevel="0" max="3" min="3" style="96" width="9.94"/>
    <col collapsed="false" customWidth="true" hidden="false" outlineLevel="0" max="4" min="4" style="96" width="8.92"/>
    <col collapsed="false" customWidth="true" hidden="false" outlineLevel="0" max="5" min="5" style="96" width="10.6"/>
    <col collapsed="false" customWidth="true" hidden="false" outlineLevel="0" max="7" min="6" style="96" width="12.25"/>
    <col collapsed="false" customWidth="true" hidden="false" outlineLevel="0" max="8" min="8" style="96" width="16.35"/>
    <col collapsed="false" customWidth="true" hidden="false" outlineLevel="0" max="11" min="9" style="96" width="12.25"/>
    <col collapsed="false" customWidth="false" hidden="false" outlineLevel="0" max="16384" min="12" style="96" width="18"/>
  </cols>
  <sheetData>
    <row r="1" customFormat="false" ht="42.75" hidden="false" customHeight="true" outlineLevel="0" collapsed="false"/>
    <row r="2" customFormat="false" ht="27" hidden="false" customHeight="true" outlineLevel="0" collapsed="false">
      <c r="B2" s="97" t="s">
        <v>570</v>
      </c>
      <c r="C2" s="97"/>
      <c r="D2" s="97"/>
      <c r="E2" s="97"/>
      <c r="F2" s="97"/>
      <c r="G2" s="97"/>
      <c r="H2" s="97"/>
      <c r="I2" s="97"/>
      <c r="J2" s="97"/>
      <c r="K2" s="97"/>
    </row>
    <row r="3" customFormat="false" ht="32.25" hidden="false" customHeight="true" outlineLevel="0" collapsed="false">
      <c r="B3" s="98" t="s">
        <v>31</v>
      </c>
      <c r="C3" s="98" t="s">
        <v>571</v>
      </c>
      <c r="D3" s="98" t="s">
        <v>535</v>
      </c>
      <c r="E3" s="98" t="s">
        <v>572</v>
      </c>
      <c r="F3" s="98" t="s">
        <v>516</v>
      </c>
      <c r="G3" s="98" t="s">
        <v>537</v>
      </c>
      <c r="H3" s="98" t="s">
        <v>573</v>
      </c>
      <c r="I3" s="98" t="s">
        <v>516</v>
      </c>
      <c r="J3" s="98" t="s">
        <v>537</v>
      </c>
      <c r="K3" s="99"/>
      <c r="L3" s="4" t="s">
        <v>574</v>
      </c>
      <c r="M3" s="4" t="s">
        <v>575</v>
      </c>
    </row>
    <row r="4" customFormat="false" ht="20.25" hidden="false" customHeight="true" outlineLevel="0" collapsed="false">
      <c r="B4" s="153" t="n">
        <v>2025</v>
      </c>
      <c r="C4" s="102" t="n">
        <v>345.652</v>
      </c>
      <c r="D4" s="103" t="n">
        <v>253</v>
      </c>
      <c r="E4" s="103" t="n">
        <v>435</v>
      </c>
      <c r="F4" s="103" t="n">
        <f aca="false">E4*C4</f>
        <v>150358.62</v>
      </c>
      <c r="G4" s="104" t="n">
        <f aca="false">F4/Inputs!$B$14</f>
        <v>113658.341522413</v>
      </c>
      <c r="H4" s="114" t="n">
        <v>449</v>
      </c>
      <c r="I4" s="128" t="n">
        <f aca="false">C4*H4</f>
        <v>155197.748</v>
      </c>
      <c r="J4" s="104" t="n">
        <f aca="false">I4/Inputs!$B$14</f>
        <v>117316.311134628</v>
      </c>
      <c r="K4" s="104"/>
      <c r="L4" s="68" t="n">
        <f aca="false">E4*Holdings!$D$11/Inputs!$B$14</f>
        <v>121164.713886159</v>
      </c>
      <c r="M4" s="154" t="n">
        <f aca="false">IFERROR(E4/D4,0)</f>
        <v>1.71936758893281</v>
      </c>
    </row>
    <row r="5" customFormat="false" ht="31.5" hidden="false" customHeight="true" outlineLevel="0" collapsed="false">
      <c r="B5" s="153" t="n">
        <v>2025</v>
      </c>
      <c r="C5" s="109" t="n">
        <v>345.652</v>
      </c>
      <c r="D5" s="110" t="n">
        <v>253</v>
      </c>
      <c r="E5" s="110" t="n">
        <v>463</v>
      </c>
      <c r="F5" s="110" t="n">
        <f aca="false">E5*C5</f>
        <v>160036.876</v>
      </c>
      <c r="G5" s="111" t="n">
        <f aca="false">F5/Inputs!$B$14</f>
        <v>120974.280746844</v>
      </c>
      <c r="H5" s="155"/>
      <c r="I5" s="117"/>
      <c r="J5" s="111"/>
      <c r="K5" s="156" t="s">
        <v>576</v>
      </c>
      <c r="L5" s="68" t="n">
        <f aca="false">E5*Holdings!$D$11/Inputs!$B$14</f>
        <v>128963.821906418</v>
      </c>
      <c r="M5" s="154" t="n">
        <f aca="false">IFERROR(E5/D5,0)</f>
        <v>1.8300395256917</v>
      </c>
    </row>
    <row r="6" customFormat="false" ht="19.5" hidden="false" customHeight="true" outlineLevel="0" collapsed="false">
      <c r="B6" s="153" t="n">
        <v>2026</v>
      </c>
      <c r="C6" s="102" t="n">
        <v>345.652</v>
      </c>
      <c r="D6" s="103" t="n">
        <v>253</v>
      </c>
      <c r="E6" s="103" t="n">
        <v>1000</v>
      </c>
      <c r="F6" s="103" t="n">
        <f aca="false">E6*C6</f>
        <v>345652</v>
      </c>
      <c r="G6" s="104" t="n">
        <f aca="false">F6/Inputs!$B$14</f>
        <v>261283.543729685</v>
      </c>
      <c r="H6" s="114"/>
      <c r="I6" s="128"/>
      <c r="J6" s="104"/>
      <c r="K6" s="104"/>
      <c r="L6" s="68" t="n">
        <f aca="false">E6*Holdings!$D$11/Inputs!$B$14</f>
        <v>278539.57215209</v>
      </c>
      <c r="M6" s="154" t="n">
        <f aca="false">IFERROR(E6/D6,0)</f>
        <v>3.95256916996047</v>
      </c>
    </row>
    <row r="7" customFormat="false" ht="31.5" hidden="false" customHeight="true" outlineLevel="0" collapsed="false">
      <c r="B7" s="153" t="n">
        <v>2026</v>
      </c>
      <c r="C7" s="109" t="n">
        <v>345.652</v>
      </c>
      <c r="D7" s="110" t="n">
        <v>253</v>
      </c>
      <c r="E7" s="110" t="n">
        <v>1033</v>
      </c>
      <c r="F7" s="110" t="n">
        <f aca="false">E7*C7</f>
        <v>357058.516</v>
      </c>
      <c r="G7" s="111" t="n">
        <f aca="false">F7/Inputs!$B$14</f>
        <v>269905.900672764</v>
      </c>
      <c r="H7" s="155"/>
      <c r="I7" s="117"/>
      <c r="J7" s="111"/>
      <c r="K7" s="98" t="s">
        <v>577</v>
      </c>
      <c r="L7" s="68" t="n">
        <f aca="false">E7*Holdings!$D$11/Inputs!$B$14</f>
        <v>287731.378033109</v>
      </c>
      <c r="M7" s="154" t="n">
        <f aca="false">IFERROR(E7/D7,0)</f>
        <v>4.08300395256917</v>
      </c>
    </row>
    <row r="8" customFormat="false" ht="19.5" hidden="false" customHeight="true" outlineLevel="0" collapsed="false">
      <c r="B8" s="153" t="n">
        <v>2027</v>
      </c>
      <c r="C8" s="102" t="n">
        <v>345.652</v>
      </c>
      <c r="D8" s="103" t="n">
        <v>253</v>
      </c>
      <c r="E8" s="103" t="n">
        <v>2500</v>
      </c>
      <c r="F8" s="103" t="n">
        <f aca="false">E8*C8</f>
        <v>864130</v>
      </c>
      <c r="G8" s="104" t="n">
        <f aca="false">F8/Inputs!$B$14</f>
        <v>653208.859324212</v>
      </c>
      <c r="H8" s="114"/>
      <c r="I8" s="104"/>
      <c r="J8" s="104"/>
      <c r="K8" s="104"/>
      <c r="L8" s="68" t="n">
        <f aca="false">E8*Holdings!$D$11/Inputs!$B$14</f>
        <v>696348.930380225</v>
      </c>
      <c r="M8" s="154" t="n">
        <f aca="false">IFERROR(E8/D8,0)</f>
        <v>9.88142292490119</v>
      </c>
    </row>
    <row r="9" customFormat="false" ht="31.5" hidden="false" customHeight="true" outlineLevel="0" collapsed="false">
      <c r="B9" s="153" t="n">
        <v>2027</v>
      </c>
      <c r="C9" s="109" t="n">
        <v>345.652</v>
      </c>
      <c r="D9" s="110" t="n">
        <v>253</v>
      </c>
      <c r="E9" s="110" t="n">
        <v>1713</v>
      </c>
      <c r="F9" s="110" t="n">
        <f aca="false">E9*C9</f>
        <v>592101.876</v>
      </c>
      <c r="G9" s="111" t="n">
        <f aca="false">F9/Inputs!$B$14</f>
        <v>447578.71040895</v>
      </c>
      <c r="H9" s="155"/>
      <c r="I9" s="117"/>
      <c r="J9" s="111"/>
      <c r="K9" s="156" t="s">
        <v>576</v>
      </c>
      <c r="L9" s="68" t="n">
        <f aca="false">E9*Holdings!$D$11/Inputs!$B$14</f>
        <v>477138.28709653</v>
      </c>
      <c r="M9" s="154" t="n">
        <f aca="false">IFERROR(E9/D9,0)</f>
        <v>6.77075098814229</v>
      </c>
    </row>
    <row r="10" customFormat="false" ht="19.5" hidden="false" customHeight="true" outlineLevel="0" collapsed="false">
      <c r="B10" s="157" t="n">
        <v>2028</v>
      </c>
      <c r="C10" s="102" t="n">
        <v>345.652</v>
      </c>
      <c r="D10" s="103" t="n">
        <v>253</v>
      </c>
      <c r="E10" s="103" t="n">
        <v>3250</v>
      </c>
      <c r="F10" s="103" t="n">
        <f aca="false">E10*C10</f>
        <v>1123369</v>
      </c>
      <c r="G10" s="104" t="n">
        <f aca="false">F10/Inputs!$B$14</f>
        <v>849171.517121476</v>
      </c>
      <c r="H10" s="114"/>
      <c r="I10" s="104"/>
      <c r="J10" s="104"/>
      <c r="K10" s="104"/>
      <c r="L10" s="68" t="n">
        <f aca="false">E10*Holdings!$D$11/Inputs!$B$14</f>
        <v>905253.609494293</v>
      </c>
      <c r="M10" s="154" t="n">
        <f aca="false">IFERROR(E10/D10,0)</f>
        <v>12.8458498023715</v>
      </c>
    </row>
    <row r="11" customFormat="false" ht="31.5" hidden="false" customHeight="true" outlineLevel="0" collapsed="false">
      <c r="B11" s="153" t="n">
        <v>2028</v>
      </c>
      <c r="C11" s="109" t="n">
        <v>345.652</v>
      </c>
      <c r="D11" s="110" t="n">
        <v>253</v>
      </c>
      <c r="E11" s="110" t="n">
        <v>2738</v>
      </c>
      <c r="F11" s="110" t="n">
        <f aca="false">E11*C11</f>
        <v>946395.176</v>
      </c>
      <c r="G11" s="111" t="n">
        <f aca="false">F11/Inputs!$B$14</f>
        <v>715394.342731877</v>
      </c>
      <c r="H11" s="155"/>
      <c r="I11" s="117"/>
      <c r="J11" s="111"/>
      <c r="K11" s="156" t="s">
        <v>576</v>
      </c>
      <c r="L11" s="68" t="n">
        <f aca="false">E11*Holdings!$D$11/Inputs!$B$14</f>
        <v>762641.348552423</v>
      </c>
      <c r="M11" s="154" t="n">
        <f aca="false">IFERROR(E11/D11,0)</f>
        <v>10.8221343873518</v>
      </c>
    </row>
    <row r="12" customFormat="false" ht="19.5" hidden="false" customHeight="true" outlineLevel="0" collapsed="false">
      <c r="B12" s="157" t="n">
        <v>2029</v>
      </c>
      <c r="C12" s="102" t="n">
        <v>345.652</v>
      </c>
      <c r="D12" s="103" t="n">
        <v>253</v>
      </c>
      <c r="E12" s="103" t="n">
        <v>5000</v>
      </c>
      <c r="F12" s="103" t="n">
        <f aca="false">E12*C12</f>
        <v>1728260</v>
      </c>
      <c r="G12" s="104" t="n">
        <f aca="false">F12/Inputs!$B$14</f>
        <v>1306417.71864842</v>
      </c>
      <c r="H12" s="114"/>
      <c r="I12" s="104"/>
      <c r="J12" s="104"/>
      <c r="K12" s="104"/>
      <c r="L12" s="68" t="n">
        <f aca="false">E12*Holdings!$D$11/Inputs!$B$14</f>
        <v>1392697.86076045</v>
      </c>
      <c r="M12" s="154" t="n">
        <f aca="false">IFERROR(E12/D12,0)</f>
        <v>19.7628458498024</v>
      </c>
    </row>
    <row r="13" customFormat="false" ht="31.5" hidden="false" customHeight="true" outlineLevel="0" collapsed="false">
      <c r="B13" s="153" t="n">
        <v>2029</v>
      </c>
      <c r="C13" s="109" t="n">
        <v>345.652</v>
      </c>
      <c r="D13" s="110" t="n">
        <v>253</v>
      </c>
      <c r="E13" s="110" t="n">
        <v>4289</v>
      </c>
      <c r="F13" s="110" t="n">
        <f aca="false">E13*C13</f>
        <v>1482501.428</v>
      </c>
      <c r="G13" s="111" t="n">
        <f aca="false">F13/Inputs!$B$14</f>
        <v>1120645.11905662</v>
      </c>
      <c r="H13" s="155"/>
      <c r="I13" s="117"/>
      <c r="J13" s="111"/>
      <c r="K13" s="156" t="s">
        <v>576</v>
      </c>
      <c r="L13" s="68" t="n">
        <f aca="false">E13*Holdings!$D$11/Inputs!$B$14</f>
        <v>1194656.22496031</v>
      </c>
      <c r="M13" s="154" t="n">
        <f aca="false">IFERROR(E13/D13,0)</f>
        <v>16.9525691699605</v>
      </c>
    </row>
    <row r="14" customFormat="false" ht="19.5" hidden="false" customHeight="true" outlineLevel="0" collapsed="false">
      <c r="B14" s="157" t="n">
        <v>2030</v>
      </c>
      <c r="C14" s="102" t="n">
        <v>345.652</v>
      </c>
      <c r="D14" s="103" t="n">
        <v>253</v>
      </c>
      <c r="E14" s="103" t="n">
        <v>7500</v>
      </c>
      <c r="F14" s="103" t="n">
        <f aca="false">E14*C14</f>
        <v>2592390</v>
      </c>
      <c r="G14" s="104" t="n">
        <f aca="false">F14/Inputs!$B$14</f>
        <v>1959626.57797264</v>
      </c>
      <c r="H14" s="114"/>
      <c r="I14" s="104"/>
      <c r="J14" s="104"/>
      <c r="K14" s="104"/>
      <c r="L14" s="68" t="n">
        <f aca="false">E14*Holdings!$D$11/Inputs!$B$14</f>
        <v>2089046.79114068</v>
      </c>
      <c r="M14" s="154" t="n">
        <f aca="false">IFERROR(E14/D14,0)</f>
        <v>29.6442687747036</v>
      </c>
    </row>
    <row r="15" customFormat="false" ht="31.5" hidden="false" customHeight="true" outlineLevel="0" collapsed="false">
      <c r="B15" s="153" t="n">
        <v>2030</v>
      </c>
      <c r="C15" s="109" t="n">
        <v>345.652</v>
      </c>
      <c r="D15" s="110" t="n">
        <v>253</v>
      </c>
      <c r="E15" s="110" t="n">
        <v>6394</v>
      </c>
      <c r="F15" s="110" t="n">
        <f aca="false">E15*C15</f>
        <v>2210098.888</v>
      </c>
      <c r="G15" s="111" t="n">
        <f aca="false">F15/Inputs!$B$14</f>
        <v>1670646.9786076</v>
      </c>
      <c r="H15" s="155"/>
      <c r="I15" s="117"/>
      <c r="J15" s="111"/>
      <c r="K15" s="156" t="s">
        <v>576</v>
      </c>
      <c r="L15" s="68" t="n">
        <f aca="false">E15*Holdings!$D$11/Inputs!$B$14</f>
        <v>1780982.02434046</v>
      </c>
      <c r="M15" s="154" t="n">
        <f aca="false">IFERROR(E15/D15,0)</f>
        <v>25.2727272727273</v>
      </c>
    </row>
    <row r="16" customFormat="false" ht="19.5" hidden="false" customHeight="true" outlineLevel="0" collapsed="false">
      <c r="B16" s="157" t="n">
        <v>2031</v>
      </c>
      <c r="C16" s="102" t="n">
        <v>345.652</v>
      </c>
      <c r="D16" s="103" t="n">
        <v>253</v>
      </c>
      <c r="E16" s="103" t="n">
        <v>10000</v>
      </c>
      <c r="F16" s="103" t="n">
        <f aca="false">E16*C16</f>
        <v>3456520</v>
      </c>
      <c r="G16" s="104" t="n">
        <f aca="false">F16/Inputs!$B$14</f>
        <v>2612835.43729685</v>
      </c>
      <c r="H16" s="114"/>
      <c r="I16" s="104"/>
      <c r="J16" s="104"/>
      <c r="K16" s="104"/>
      <c r="L16" s="68" t="n">
        <f aca="false">E16*Holdings!$D$11/Inputs!$B$14</f>
        <v>2785395.7215209</v>
      </c>
      <c r="M16" s="154" t="n">
        <f aca="false">IFERROR(E16/D16,0)</f>
        <v>39.5256916996047</v>
      </c>
    </row>
    <row r="17" customFormat="false" ht="19.5" hidden="false" customHeight="true" outlineLevel="0" collapsed="false">
      <c r="B17" s="157" t="n">
        <v>2032</v>
      </c>
      <c r="C17" s="109" t="n">
        <v>345.652</v>
      </c>
      <c r="D17" s="110" t="n">
        <v>253</v>
      </c>
      <c r="E17" s="110" t="n">
        <v>14000</v>
      </c>
      <c r="F17" s="110" t="n">
        <f aca="false">E17*C17</f>
        <v>4839128</v>
      </c>
      <c r="G17" s="111" t="n">
        <f aca="false">F17/Inputs!$B$14</f>
        <v>3657969.61221559</v>
      </c>
      <c r="H17" s="155"/>
      <c r="I17" s="111"/>
      <c r="J17" s="111"/>
      <c r="K17" s="111"/>
      <c r="L17" s="68" t="n">
        <f aca="false">E17*Holdings!$D$11/Inputs!$B$14</f>
        <v>3899554.01012926</v>
      </c>
      <c r="M17" s="154" t="n">
        <f aca="false">IFERROR(E17/D17,0)</f>
        <v>55.3359683794466</v>
      </c>
    </row>
    <row r="18" customFormat="false" ht="19.5" hidden="false" customHeight="true" outlineLevel="0" collapsed="false">
      <c r="B18" s="157" t="n">
        <v>2033</v>
      </c>
      <c r="C18" s="102" t="n">
        <v>345.652</v>
      </c>
      <c r="D18" s="103" t="n">
        <v>253</v>
      </c>
      <c r="E18" s="103" t="n">
        <v>18000</v>
      </c>
      <c r="F18" s="103" t="n">
        <f aca="false">E18*C18</f>
        <v>6221736</v>
      </c>
      <c r="G18" s="104" t="n">
        <f aca="false">F18/Inputs!$B$14</f>
        <v>4703103.78713433</v>
      </c>
      <c r="H18" s="114"/>
      <c r="I18" s="104"/>
      <c r="J18" s="104"/>
      <c r="K18" s="104"/>
      <c r="L18" s="68" t="n">
        <f aca="false">E18*Holdings!$D$11/Inputs!$B$14</f>
        <v>5013712.29873762</v>
      </c>
      <c r="M18" s="154" t="n">
        <f aca="false">IFERROR(E18/D18,0)</f>
        <v>71.1462450592885</v>
      </c>
    </row>
    <row r="19" customFormat="false" ht="19.5" hidden="false" customHeight="true" outlineLevel="0" collapsed="false">
      <c r="B19" s="157" t="n">
        <v>2034</v>
      </c>
      <c r="C19" s="109" t="n">
        <v>345.652</v>
      </c>
      <c r="D19" s="110" t="n">
        <v>253</v>
      </c>
      <c r="E19" s="110" t="n">
        <v>21500</v>
      </c>
      <c r="F19" s="110" t="n">
        <f aca="false">E19*C19</f>
        <v>7431518</v>
      </c>
      <c r="G19" s="111" t="n">
        <f aca="false">F19/Inputs!$B$14</f>
        <v>5617596.19018822</v>
      </c>
      <c r="H19" s="155"/>
      <c r="I19" s="111"/>
      <c r="J19" s="111"/>
      <c r="K19" s="111"/>
      <c r="L19" s="68" t="n">
        <f aca="false">E19*Holdings!$D$11/Inputs!$B$14</f>
        <v>5988600.80126994</v>
      </c>
      <c r="M19" s="154" t="n">
        <f aca="false">IFERROR(E19/D19,0)</f>
        <v>84.9802371541502</v>
      </c>
    </row>
    <row r="20" customFormat="false" ht="19.5" hidden="false" customHeight="true" outlineLevel="0" collapsed="false">
      <c r="B20" s="157" t="n">
        <v>2035</v>
      </c>
      <c r="C20" s="102" t="n">
        <v>345.652</v>
      </c>
      <c r="D20" s="103" t="n">
        <v>253</v>
      </c>
      <c r="E20" s="103" t="n">
        <v>25000</v>
      </c>
      <c r="F20" s="103" t="n">
        <f aca="false">E20*C20</f>
        <v>8641300</v>
      </c>
      <c r="G20" s="104" t="n">
        <f aca="false">F20/Inputs!$B$14</f>
        <v>6532088.59324212</v>
      </c>
      <c r="H20" s="114"/>
      <c r="I20" s="104"/>
      <c r="J20" s="104"/>
      <c r="K20" s="104"/>
      <c r="L20" s="68" t="n">
        <f aca="false">E20*Holdings!$D$11/Inputs!$B$14</f>
        <v>6963489.30380225</v>
      </c>
      <c r="M20" s="154" t="n">
        <f aca="false">IFERROR(E20/D20,0)</f>
        <v>98.8142292490119</v>
      </c>
    </row>
    <row r="21" customFormat="false" ht="19.5" hidden="false" customHeight="true" outlineLevel="0" collapsed="false">
      <c r="B21" s="120"/>
      <c r="C21" s="126"/>
      <c r="D21" s="109"/>
      <c r="E21" s="126"/>
      <c r="F21" s="126"/>
      <c r="G21" s="126"/>
      <c r="H21" s="126"/>
      <c r="I21" s="126"/>
      <c r="J21" s="126"/>
      <c r="K21" s="126"/>
    </row>
    <row r="22" customFormat="false" ht="19.5" hidden="false" customHeight="true" outlineLevel="0" collapsed="false">
      <c r="B22" s="139" t="s">
        <v>578</v>
      </c>
      <c r="C22" s="121"/>
      <c r="D22" s="102"/>
      <c r="E22" s="121"/>
      <c r="F22" s="121"/>
      <c r="G22" s="121"/>
      <c r="H22" s="121"/>
      <c r="I22" s="121"/>
      <c r="J22" s="121"/>
      <c r="K22" s="121"/>
    </row>
    <row r="23" customFormat="false" ht="19.5" hidden="false" customHeight="true" outlineLevel="0" collapsed="false">
      <c r="B23" s="139" t="s">
        <v>579</v>
      </c>
      <c r="C23" s="126"/>
      <c r="D23" s="109"/>
      <c r="E23" s="126"/>
      <c r="F23" s="126"/>
      <c r="G23" s="126"/>
      <c r="H23" s="126"/>
      <c r="I23" s="126"/>
      <c r="J23" s="126"/>
      <c r="K23" s="126"/>
    </row>
    <row r="24" customFormat="false" ht="19.5" hidden="false" customHeight="true" outlineLevel="0" collapsed="false">
      <c r="B24" s="120"/>
      <c r="C24" s="121"/>
      <c r="D24" s="102"/>
      <c r="E24" s="121"/>
      <c r="F24" s="121"/>
      <c r="G24" s="121"/>
      <c r="H24" s="121"/>
      <c r="I24" s="121"/>
      <c r="J24" s="121"/>
      <c r="K24" s="121"/>
    </row>
    <row r="25" customFormat="false" ht="19.5" hidden="false" customHeight="true" outlineLevel="0" collapsed="false">
      <c r="B25" s="120"/>
      <c r="C25" s="126"/>
      <c r="D25" s="109"/>
      <c r="E25" s="126"/>
      <c r="F25" s="126"/>
      <c r="G25" s="126"/>
      <c r="H25" s="126"/>
      <c r="I25" s="126"/>
      <c r="J25" s="126"/>
      <c r="K25" s="126"/>
    </row>
    <row r="26" customFormat="false" ht="19.5" hidden="false" customHeight="true" outlineLevel="0" collapsed="false">
      <c r="B26" s="120"/>
      <c r="C26" s="121"/>
      <c r="D26" s="102"/>
      <c r="E26" s="121"/>
      <c r="F26" s="121"/>
      <c r="G26" s="121"/>
      <c r="H26" s="121"/>
      <c r="I26" s="121"/>
      <c r="J26" s="121"/>
      <c r="K26" s="121"/>
    </row>
    <row r="27" customFormat="false" ht="19.5" hidden="false" customHeight="true" outlineLevel="0" collapsed="false">
      <c r="B27" s="120"/>
      <c r="C27" s="126"/>
      <c r="D27" s="109"/>
      <c r="E27" s="126"/>
      <c r="F27" s="126"/>
      <c r="G27" s="126"/>
      <c r="H27" s="126"/>
      <c r="I27" s="126"/>
      <c r="J27" s="126"/>
      <c r="K27" s="126"/>
    </row>
    <row r="28" customFormat="false" ht="19.5" hidden="false" customHeight="true" outlineLevel="0" collapsed="false">
      <c r="B28" s="120"/>
      <c r="C28" s="121"/>
      <c r="D28" s="102"/>
      <c r="E28" s="121"/>
      <c r="F28" s="121"/>
      <c r="G28" s="121"/>
      <c r="H28" s="121"/>
      <c r="I28" s="121"/>
      <c r="J28" s="121"/>
      <c r="K28" s="121"/>
    </row>
    <row r="29" customFormat="false" ht="19.5" hidden="false" customHeight="true" outlineLevel="0" collapsed="false">
      <c r="B29" s="120"/>
      <c r="C29" s="126"/>
      <c r="D29" s="109"/>
      <c r="E29" s="126"/>
      <c r="F29" s="126"/>
      <c r="G29" s="126"/>
      <c r="H29" s="126"/>
      <c r="I29" s="126"/>
      <c r="J29" s="126"/>
      <c r="K29" s="126"/>
    </row>
    <row r="30" customFormat="false" ht="19.5" hidden="false" customHeight="true" outlineLevel="0" collapsed="false">
      <c r="B30" s="120"/>
      <c r="C30" s="121"/>
      <c r="D30" s="102"/>
      <c r="E30" s="121"/>
      <c r="F30" s="121"/>
      <c r="G30" s="121"/>
      <c r="H30" s="121"/>
      <c r="I30" s="121"/>
      <c r="J30" s="121"/>
      <c r="K30" s="121"/>
    </row>
    <row r="31" customFormat="false" ht="19.5" hidden="false" customHeight="true" outlineLevel="0" collapsed="false">
      <c r="B31" s="120"/>
      <c r="C31" s="126"/>
      <c r="D31" s="109"/>
      <c r="E31" s="126"/>
      <c r="F31" s="126"/>
      <c r="G31" s="126"/>
      <c r="H31" s="126"/>
      <c r="I31" s="126"/>
      <c r="J31" s="126"/>
      <c r="K31" s="126"/>
    </row>
    <row r="32" customFormat="false" ht="19.5" hidden="false" customHeight="true" outlineLevel="0" collapsed="false">
      <c r="B32" s="120"/>
      <c r="C32" s="121"/>
      <c r="D32" s="102"/>
      <c r="E32" s="121"/>
      <c r="F32" s="121"/>
      <c r="G32" s="121"/>
      <c r="H32" s="121"/>
      <c r="I32" s="121"/>
      <c r="J32" s="121"/>
      <c r="K32" s="121"/>
    </row>
  </sheetData>
  <mergeCells count="1">
    <mergeCell ref="B2:K2"/>
  </mergeCells>
  <hyperlinks>
    <hyperlink ref="K5" r:id="rId1" display="Jo Bhakdi prediction"/>
    <hyperlink ref="K9" r:id="rId2" display="Jo Bhakdi prediction"/>
    <hyperlink ref="K11" r:id="rId3" display="Jo Bhakdi prediction"/>
    <hyperlink ref="K13" r:id="rId4" display="Jo Bhakdi prediction"/>
    <hyperlink ref="K15" r:id="rId5" display="Jo Bhakdi prediction"/>
  </hyperlink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6.3515625" defaultRowHeight="19.5" customHeight="true" zeroHeight="false" outlineLevelRow="0" outlineLevelCol="0"/>
  <cols>
    <col collapsed="false" customWidth="true" hidden="false" outlineLevel="0" max="1" min="1" style="96" width="11.64"/>
    <col collapsed="false" customWidth="true" hidden="false" outlineLevel="0" max="2" min="2" style="96" width="13.12"/>
    <col collapsed="false" customWidth="true" hidden="false" outlineLevel="0" max="3" min="3" style="96" width="9.94"/>
    <col collapsed="false" customWidth="true" hidden="false" outlineLevel="0" max="4" min="4" style="96" width="8.78"/>
    <col collapsed="false" customWidth="true" hidden="false" outlineLevel="0" max="5" min="5" style="96" width="10.91"/>
    <col collapsed="false" customWidth="true" hidden="false" outlineLevel="0" max="6" min="6" style="96" width="8.29"/>
    <col collapsed="false" customWidth="true" hidden="false" outlineLevel="0" max="7" min="7" style="96" width="9.99"/>
    <col collapsed="false" customWidth="true" hidden="false" outlineLevel="0" max="8" min="8" style="96" width="8.91"/>
    <col collapsed="false" customWidth="true" hidden="false" outlineLevel="0" max="9" min="9" style="96" width="11.46"/>
    <col collapsed="false" customWidth="false" hidden="false" outlineLevel="0" max="16384" min="10" style="96" width="16.35"/>
  </cols>
  <sheetData>
    <row r="1" customFormat="false" ht="27" hidden="false" customHeight="true" outlineLevel="0" collapsed="false">
      <c r="A1" s="97" t="s">
        <v>570</v>
      </c>
      <c r="B1" s="97"/>
      <c r="C1" s="97"/>
      <c r="D1" s="97"/>
      <c r="E1" s="97"/>
      <c r="F1" s="97"/>
      <c r="G1" s="97"/>
      <c r="H1" s="97"/>
      <c r="I1" s="97"/>
      <c r="J1" s="97"/>
    </row>
    <row r="2" customFormat="false" ht="44.25" hidden="false" customHeight="true" outlineLevel="0" collapsed="false">
      <c r="A2" s="98" t="s">
        <v>508</v>
      </c>
      <c r="B2" s="98" t="s">
        <v>533</v>
      </c>
      <c r="C2" s="98" t="s">
        <v>534</v>
      </c>
      <c r="D2" s="98" t="s">
        <v>535</v>
      </c>
      <c r="E2" s="98" t="s">
        <v>515</v>
      </c>
      <c r="F2" s="98" t="s">
        <v>536</v>
      </c>
      <c r="G2" s="98" t="s">
        <v>516</v>
      </c>
      <c r="H2" s="98" t="s">
        <v>517</v>
      </c>
      <c r="I2" s="98" t="s">
        <v>518</v>
      </c>
      <c r="J2" s="99"/>
    </row>
    <row r="3" customFormat="false" ht="20.25" hidden="false" customHeight="true" outlineLevel="0" collapsed="false">
      <c r="A3" s="132" t="s">
        <v>278</v>
      </c>
      <c r="B3" s="101" t="s">
        <v>519</v>
      </c>
      <c r="C3" s="102" t="n">
        <v>107.95</v>
      </c>
      <c r="D3" s="103" t="n">
        <v>349.29</v>
      </c>
      <c r="E3" s="103" t="n">
        <f aca="false">D3*C3</f>
        <v>37705.8555</v>
      </c>
      <c r="F3" s="103" t="n">
        <f aca="false">Inputs!$B$9</f>
        <v>375</v>
      </c>
      <c r="G3" s="103" t="n">
        <f aca="false">F3*C3</f>
        <v>40481.25</v>
      </c>
      <c r="H3" s="128" t="n">
        <f aca="false">G3-E3</f>
        <v>2775.3945</v>
      </c>
      <c r="I3" s="106" t="n">
        <f aca="false">(F3-D3)/D3</f>
        <v>0.0736064588164562</v>
      </c>
      <c r="J3" s="133"/>
    </row>
    <row r="4" customFormat="false" ht="25.5" hidden="false" customHeight="true" outlineLevel="0" collapsed="false">
      <c r="A4" s="120"/>
      <c r="B4" s="126" t="s">
        <v>580</v>
      </c>
      <c r="C4" s="109" t="n">
        <f aca="false">C3</f>
        <v>107.95</v>
      </c>
      <c r="D4" s="111" t="n">
        <f aca="false">D3/Inputs!$B$14</f>
        <v>264.033562627561</v>
      </c>
      <c r="E4" s="111" t="n">
        <f aca="false">D4*C4</f>
        <v>28502.4230856452</v>
      </c>
      <c r="F4" s="111" t="n">
        <f aca="false">F3/Inputs!$B$14</f>
        <v>283.468138181268</v>
      </c>
      <c r="G4" s="111" t="n">
        <f aca="false">F4*C4</f>
        <v>30600.3855166679</v>
      </c>
      <c r="H4" s="111" t="n">
        <f aca="false">G4-E4</f>
        <v>2097.96243102275</v>
      </c>
      <c r="I4" s="113" t="n">
        <f aca="false">(F4-D4)/D4</f>
        <v>0.0736064588164562</v>
      </c>
      <c r="J4" s="126"/>
    </row>
    <row r="5" customFormat="false" ht="19.5" hidden="false" customHeight="true" outlineLevel="0" collapsed="false">
      <c r="A5" s="131" t="s">
        <v>281</v>
      </c>
      <c r="B5" s="158" t="s">
        <v>581</v>
      </c>
      <c r="C5" s="159" t="n">
        <v>6.04</v>
      </c>
      <c r="D5" s="103" t="n">
        <v>443</v>
      </c>
      <c r="E5" s="103" t="n">
        <f aca="false">D5*C5</f>
        <v>2675.72</v>
      </c>
      <c r="F5" s="103" t="n">
        <f aca="false">Inputs!$B$9</f>
        <v>375</v>
      </c>
      <c r="G5" s="103" t="n">
        <f aca="false">F5*C5</f>
        <v>2265</v>
      </c>
      <c r="H5" s="128" t="n">
        <f aca="false">G5-E5</f>
        <v>-410.72</v>
      </c>
      <c r="I5" s="106" t="n">
        <f aca="false">(F5-D5)/D5</f>
        <v>-0.153498871331828</v>
      </c>
      <c r="J5" s="121"/>
    </row>
    <row r="6" customFormat="false" ht="19.5" hidden="false" customHeight="true" outlineLevel="0" collapsed="false">
      <c r="A6" s="120"/>
      <c r="B6" s="160" t="s">
        <v>580</v>
      </c>
      <c r="C6" s="160" t="n">
        <f aca="false">C5</f>
        <v>6.04</v>
      </c>
      <c r="D6" s="111" t="n">
        <f aca="false">D5/Inputs!$B$14</f>
        <v>334.870360571472</v>
      </c>
      <c r="E6" s="111" t="n">
        <f aca="false">D6*C6</f>
        <v>2022.61697785169</v>
      </c>
      <c r="F6" s="111" t="n">
        <f aca="false">F5/Inputs!$B$14</f>
        <v>283.468138181268</v>
      </c>
      <c r="G6" s="111" t="n">
        <f aca="false">F6*C6</f>
        <v>1712.14755461486</v>
      </c>
      <c r="H6" s="111" t="n">
        <f aca="false">G6-E6</f>
        <v>-310.469423236828</v>
      </c>
      <c r="I6" s="113" t="n">
        <f aca="false">(F6-D6)/D6</f>
        <v>-0.153498871331828</v>
      </c>
      <c r="J6" s="126"/>
    </row>
    <row r="7" customFormat="false" ht="19.5" hidden="false" customHeight="true" outlineLevel="0" collapsed="false">
      <c r="A7" s="120"/>
      <c r="B7" s="159"/>
      <c r="C7" s="159"/>
      <c r="D7" s="159"/>
      <c r="E7" s="159"/>
      <c r="F7" s="159"/>
      <c r="G7" s="159"/>
      <c r="H7" s="159"/>
      <c r="I7" s="121"/>
      <c r="J7" s="121"/>
    </row>
    <row r="8" customFormat="false" ht="19.5" hidden="false" customHeight="true" outlineLevel="0" collapsed="false">
      <c r="A8" s="139" t="s">
        <v>582</v>
      </c>
      <c r="B8" s="126"/>
      <c r="C8" s="126"/>
      <c r="D8" s="126"/>
      <c r="E8" s="126"/>
      <c r="F8" s="126"/>
      <c r="G8" s="126"/>
      <c r="H8" s="126"/>
      <c r="I8" s="126"/>
      <c r="J8" s="126"/>
    </row>
    <row r="9" customFormat="false" ht="19.5" hidden="false" customHeight="true" outlineLevel="0" collapsed="false">
      <c r="A9" s="120"/>
      <c r="B9" s="121"/>
      <c r="C9" s="121"/>
      <c r="D9" s="121"/>
      <c r="E9" s="121"/>
      <c r="F9" s="121"/>
      <c r="G9" s="121"/>
      <c r="H9" s="121"/>
      <c r="I9" s="121"/>
      <c r="J9" s="121"/>
    </row>
    <row r="10" customFormat="false" ht="19.5" hidden="false" customHeight="true" outlineLevel="0" collapsed="false">
      <c r="A10" s="120"/>
      <c r="B10" s="126"/>
      <c r="C10" s="126"/>
      <c r="D10" s="126"/>
      <c r="E10" s="126"/>
      <c r="F10" s="126"/>
      <c r="G10" s="126"/>
      <c r="H10" s="126"/>
      <c r="I10" s="126"/>
      <c r="J10" s="126"/>
    </row>
    <row r="11" customFormat="false" ht="19.5" hidden="false" customHeight="true" outlineLevel="0" collapsed="false">
      <c r="A11" s="120"/>
      <c r="B11" s="121"/>
      <c r="C11" s="121"/>
      <c r="D11" s="121"/>
      <c r="E11" s="121"/>
      <c r="F11" s="121"/>
      <c r="G11" s="121"/>
      <c r="H11" s="121"/>
      <c r="I11" s="121"/>
      <c r="J11" s="121"/>
    </row>
    <row r="12" customFormat="false" ht="19.5" hidden="false" customHeight="true" outlineLevel="0" collapsed="false">
      <c r="A12" s="120"/>
      <c r="B12" s="126"/>
      <c r="C12" s="126"/>
      <c r="D12" s="126"/>
      <c r="E12" s="126"/>
      <c r="F12" s="126"/>
      <c r="G12" s="126"/>
      <c r="H12" s="126"/>
      <c r="I12" s="126"/>
      <c r="J12" s="126"/>
    </row>
    <row r="13" customFormat="false" ht="19.5" hidden="false" customHeight="true" outlineLevel="0" collapsed="false">
      <c r="A13" s="120"/>
      <c r="B13" s="121"/>
      <c r="C13" s="121"/>
      <c r="D13" s="121"/>
      <c r="E13" s="121"/>
      <c r="F13" s="121"/>
      <c r="G13" s="121"/>
      <c r="H13" s="121"/>
      <c r="I13" s="121"/>
      <c r="J13" s="121"/>
    </row>
    <row r="14" customFormat="false" ht="19.5" hidden="false" customHeight="true" outlineLevel="0" collapsed="false">
      <c r="A14" s="120"/>
      <c r="B14" s="126"/>
      <c r="C14" s="126"/>
      <c r="D14" s="126"/>
      <c r="E14" s="126"/>
      <c r="F14" s="126"/>
      <c r="G14" s="126"/>
      <c r="H14" s="126"/>
      <c r="I14" s="126"/>
      <c r="J14" s="126"/>
    </row>
    <row r="15" customFormat="false" ht="19.5" hidden="false" customHeight="true" outlineLevel="0" collapsed="false">
      <c r="A15" s="120"/>
      <c r="B15" s="121"/>
      <c r="C15" s="121"/>
      <c r="D15" s="121"/>
      <c r="E15" s="121"/>
      <c r="F15" s="121"/>
      <c r="G15" s="121"/>
      <c r="H15" s="121"/>
      <c r="I15" s="121"/>
      <c r="J15" s="121"/>
    </row>
    <row r="16" customFormat="false" ht="19.5" hidden="false" customHeight="true" outlineLevel="0" collapsed="false">
      <c r="A16" s="120"/>
      <c r="B16" s="126"/>
      <c r="C16" s="126"/>
      <c r="D16" s="126"/>
      <c r="E16" s="126"/>
      <c r="F16" s="126"/>
      <c r="G16" s="126"/>
      <c r="H16" s="126"/>
      <c r="I16" s="126"/>
      <c r="J16" s="126"/>
    </row>
    <row r="17" customFormat="false" ht="19.5" hidden="false" customHeight="true" outlineLevel="0" collapsed="false">
      <c r="A17" s="120"/>
      <c r="B17" s="121"/>
      <c r="C17" s="121"/>
      <c r="D17" s="121"/>
      <c r="E17" s="121"/>
      <c r="F17" s="121"/>
      <c r="G17" s="121"/>
      <c r="H17" s="121"/>
      <c r="I17" s="121"/>
      <c r="J17" s="121"/>
    </row>
    <row r="18" customFormat="false" ht="19.5" hidden="false" customHeight="true" outlineLevel="0" collapsed="false">
      <c r="A18" s="120"/>
      <c r="B18" s="126"/>
      <c r="C18" s="126"/>
      <c r="D18" s="126"/>
      <c r="E18" s="126"/>
      <c r="F18" s="126"/>
      <c r="G18" s="126"/>
      <c r="H18" s="126"/>
      <c r="I18" s="126"/>
      <c r="J18" s="126"/>
    </row>
    <row r="19" customFormat="false" ht="19.5" hidden="false" customHeight="true" outlineLevel="0" collapsed="false">
      <c r="A19" s="120"/>
      <c r="B19" s="121"/>
      <c r="C19" s="121"/>
      <c r="D19" s="121"/>
      <c r="E19" s="121"/>
      <c r="F19" s="121"/>
      <c r="G19" s="121"/>
      <c r="H19" s="121"/>
      <c r="I19" s="121"/>
      <c r="J19" s="121"/>
    </row>
    <row r="20" customFormat="false" ht="19.5" hidden="false" customHeight="true" outlineLevel="0" collapsed="false">
      <c r="A20" s="120"/>
      <c r="B20" s="126"/>
      <c r="C20" s="126"/>
      <c r="D20" s="126"/>
      <c r="E20" s="126"/>
      <c r="F20" s="126"/>
      <c r="G20" s="126"/>
      <c r="H20" s="126"/>
      <c r="I20" s="126"/>
      <c r="J20" s="126"/>
    </row>
    <row r="21" customFormat="false" ht="19.5" hidden="false" customHeight="true" outlineLevel="0" collapsed="false">
      <c r="A21" s="120"/>
      <c r="B21" s="121"/>
      <c r="C21" s="121"/>
      <c r="D21" s="121"/>
      <c r="E21" s="121"/>
      <c r="F21" s="121"/>
      <c r="G21" s="121"/>
      <c r="H21" s="121"/>
      <c r="I21" s="121"/>
      <c r="J21" s="121"/>
    </row>
    <row r="22" customFormat="false" ht="19.5" hidden="false" customHeight="true" outlineLevel="0" collapsed="false">
      <c r="A22" s="120"/>
      <c r="B22" s="126"/>
      <c r="C22" s="126"/>
      <c r="D22" s="126"/>
      <c r="E22" s="126"/>
      <c r="F22" s="126"/>
      <c r="G22" s="126"/>
      <c r="H22" s="126"/>
      <c r="I22" s="126"/>
      <c r="J22" s="126"/>
    </row>
    <row r="23" customFormat="false" ht="19.5" hidden="false" customHeight="true" outlineLevel="0" collapsed="false">
      <c r="A23" s="120"/>
      <c r="B23" s="121"/>
      <c r="C23" s="121"/>
      <c r="D23" s="121"/>
      <c r="E23" s="121"/>
      <c r="F23" s="121"/>
      <c r="G23" s="121"/>
      <c r="H23" s="121"/>
      <c r="I23" s="121"/>
      <c r="J23" s="121"/>
    </row>
    <row r="24" customFormat="false" ht="19.5" hidden="false" customHeight="true" outlineLevel="0" collapsed="false">
      <c r="A24" s="120"/>
      <c r="B24" s="126"/>
      <c r="C24" s="126"/>
      <c r="D24" s="126"/>
      <c r="E24" s="126"/>
      <c r="F24" s="126"/>
      <c r="G24" s="126"/>
      <c r="H24" s="126"/>
      <c r="I24" s="126"/>
      <c r="J24" s="126"/>
    </row>
  </sheetData>
  <mergeCells count="1">
    <mergeCell ref="A1:J1"/>
  </mergeCells>
  <conditionalFormatting sqref="H3:I6">
    <cfRule type="cellIs" priority="2" operator="less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6.3515625" defaultRowHeight="19.5" customHeight="true" zeroHeight="false" outlineLevelRow="0" outlineLevelCol="0"/>
  <cols>
    <col collapsed="false" customWidth="true" hidden="false" outlineLevel="0" max="1" min="1" style="96" width="5.3"/>
    <col collapsed="false" customWidth="true" hidden="false" outlineLevel="0" max="2" min="2" style="96" width="9.94"/>
    <col collapsed="false" customWidth="true" hidden="false" outlineLevel="0" max="3" min="3" style="96" width="8.92"/>
    <col collapsed="false" customWidth="true" hidden="false" outlineLevel="0" max="4" min="4" style="96" width="9.92"/>
    <col collapsed="false" customWidth="true" hidden="false" outlineLevel="0" max="6" min="5" style="96" width="12.25"/>
    <col collapsed="false" customWidth="false" hidden="false" outlineLevel="0" max="16384" min="7" style="96" width="16.35"/>
  </cols>
  <sheetData>
    <row r="1" customFormat="false" ht="27" hidden="false" customHeight="true" outlineLevel="0" collapsed="false">
      <c r="A1" s="97" t="s">
        <v>570</v>
      </c>
      <c r="B1" s="97"/>
      <c r="C1" s="97"/>
      <c r="D1" s="97"/>
      <c r="E1" s="97"/>
      <c r="F1" s="97"/>
    </row>
    <row r="2" customFormat="false" ht="32.25" hidden="false" customHeight="true" outlineLevel="0" collapsed="false">
      <c r="A2" s="98" t="s">
        <v>31</v>
      </c>
      <c r="B2" s="98" t="s">
        <v>571</v>
      </c>
      <c r="C2" s="98" t="s">
        <v>535</v>
      </c>
      <c r="D2" s="98" t="s">
        <v>583</v>
      </c>
      <c r="E2" s="98" t="s">
        <v>516</v>
      </c>
      <c r="F2" s="98" t="s">
        <v>537</v>
      </c>
    </row>
    <row r="3" customFormat="false" ht="20.25" hidden="false" customHeight="true" outlineLevel="0" collapsed="false">
      <c r="A3" s="153" t="n">
        <v>2025</v>
      </c>
      <c r="B3" s="102" t="n">
        <v>107</v>
      </c>
      <c r="C3" s="103" t="n">
        <v>350</v>
      </c>
      <c r="D3" s="103" t="n">
        <v>432</v>
      </c>
      <c r="E3" s="103" t="n">
        <f aca="false">D3*B3</f>
        <v>46224</v>
      </c>
      <c r="F3" s="104" t="n">
        <f aca="false">E3/Inputs!$B$14</f>
        <v>34941.4165847759</v>
      </c>
    </row>
    <row r="4" customFormat="false" ht="19.5" hidden="false" customHeight="true" outlineLevel="0" collapsed="false">
      <c r="A4" s="153" t="n">
        <v>2026</v>
      </c>
      <c r="B4" s="109" t="n">
        <v>107</v>
      </c>
      <c r="C4" s="110" t="n">
        <f aca="false">C3</f>
        <v>350</v>
      </c>
      <c r="D4" s="110" t="n">
        <v>1250</v>
      </c>
      <c r="E4" s="110" t="n">
        <f aca="false">D4*B4</f>
        <v>133750</v>
      </c>
      <c r="F4" s="111" t="n">
        <f aca="false">E4/Inputs!$B$14</f>
        <v>101103.635951319</v>
      </c>
    </row>
    <row r="5" customFormat="false" ht="19.5" hidden="false" customHeight="true" outlineLevel="0" collapsed="false">
      <c r="A5" s="153" t="n">
        <v>2027</v>
      </c>
      <c r="B5" s="102" t="n">
        <v>107</v>
      </c>
      <c r="C5" s="103" t="n">
        <v>350</v>
      </c>
      <c r="D5" s="103" t="n">
        <v>2000</v>
      </c>
      <c r="E5" s="103" t="n">
        <f aca="false">D5*B5</f>
        <v>214000</v>
      </c>
      <c r="F5" s="104" t="n">
        <f aca="false">E5/Inputs!$B$14</f>
        <v>161765.817522111</v>
      </c>
    </row>
    <row r="6" customFormat="false" ht="19.5" hidden="false" customHeight="true" outlineLevel="0" collapsed="false">
      <c r="A6" s="157" t="n">
        <v>2028</v>
      </c>
      <c r="B6" s="109" t="n">
        <v>107</v>
      </c>
      <c r="C6" s="110" t="n">
        <v>350</v>
      </c>
      <c r="D6" s="110" t="n">
        <v>3250</v>
      </c>
      <c r="E6" s="110" t="n">
        <f aca="false">D6*B6</f>
        <v>347750</v>
      </c>
      <c r="F6" s="111" t="n">
        <f aca="false">E6/Inputs!$B$14</f>
        <v>262869.45347343</v>
      </c>
    </row>
    <row r="7" customFormat="false" ht="19.5" hidden="false" customHeight="true" outlineLevel="0" collapsed="false">
      <c r="A7" s="157" t="n">
        <v>2029</v>
      </c>
      <c r="B7" s="102" t="n">
        <v>107</v>
      </c>
      <c r="C7" s="103" t="n">
        <v>350</v>
      </c>
      <c r="D7" s="103" t="n">
        <v>5000</v>
      </c>
      <c r="E7" s="103" t="n">
        <f aca="false">D7*B7</f>
        <v>535000</v>
      </c>
      <c r="F7" s="104" t="n">
        <f aca="false">E7/Inputs!$B$14</f>
        <v>404414.543805276</v>
      </c>
    </row>
    <row r="8" customFormat="false" ht="19.5" hidden="false" customHeight="true" outlineLevel="0" collapsed="false">
      <c r="A8" s="157" t="n">
        <v>2030</v>
      </c>
      <c r="B8" s="109" t="n">
        <v>107</v>
      </c>
      <c r="C8" s="110" t="n">
        <v>350</v>
      </c>
      <c r="D8" s="110" t="n">
        <v>7500</v>
      </c>
      <c r="E8" s="110" t="n">
        <f aca="false">D8*B8</f>
        <v>802500</v>
      </c>
      <c r="F8" s="111" t="n">
        <f aca="false">E8/Inputs!$B$14</f>
        <v>606621.815707914</v>
      </c>
    </row>
    <row r="9" customFormat="false" ht="19.5" hidden="false" customHeight="true" outlineLevel="0" collapsed="false">
      <c r="A9" s="157" t="n">
        <v>2031</v>
      </c>
      <c r="B9" s="102" t="n">
        <v>107</v>
      </c>
      <c r="C9" s="103" t="n">
        <v>350</v>
      </c>
      <c r="D9" s="103" t="n">
        <v>10000</v>
      </c>
      <c r="E9" s="103" t="n">
        <f aca="false">D9*B9</f>
        <v>1070000</v>
      </c>
      <c r="F9" s="104" t="n">
        <f aca="false">E9/Inputs!$B$14</f>
        <v>808829.087610553</v>
      </c>
    </row>
    <row r="10" customFormat="false" ht="19.5" hidden="false" customHeight="true" outlineLevel="0" collapsed="false">
      <c r="A10" s="157" t="n">
        <v>2032</v>
      </c>
      <c r="B10" s="109" t="n">
        <v>107</v>
      </c>
      <c r="C10" s="110" t="n">
        <v>350</v>
      </c>
      <c r="D10" s="110" t="n">
        <v>14000</v>
      </c>
      <c r="E10" s="110" t="n">
        <f aca="false">D10*B10</f>
        <v>1498000</v>
      </c>
      <c r="F10" s="111" t="n">
        <f aca="false">E10/Inputs!$B$14</f>
        <v>1132360.72265477</v>
      </c>
    </row>
    <row r="11" customFormat="false" ht="19.5" hidden="false" customHeight="true" outlineLevel="0" collapsed="false">
      <c r="A11" s="157" t="n">
        <v>2033</v>
      </c>
      <c r="B11" s="102" t="n">
        <v>120</v>
      </c>
      <c r="C11" s="133" t="n">
        <v>380</v>
      </c>
      <c r="D11" s="103" t="n">
        <v>18000</v>
      </c>
      <c r="E11" s="103" t="n">
        <f aca="false">D11*B11</f>
        <v>2160000</v>
      </c>
      <c r="F11" s="104" t="n">
        <f aca="false">E11/Inputs!$B$14</f>
        <v>1632776.47592411</v>
      </c>
    </row>
    <row r="12" customFormat="false" ht="19.5" hidden="false" customHeight="true" outlineLevel="0" collapsed="false">
      <c r="A12" s="157" t="n">
        <v>2034</v>
      </c>
      <c r="B12" s="109" t="n">
        <v>120</v>
      </c>
      <c r="C12" s="161" t="n">
        <v>380</v>
      </c>
      <c r="D12" s="110" t="n">
        <v>25000</v>
      </c>
      <c r="E12" s="110" t="n">
        <f aca="false">D12*B12</f>
        <v>3000000</v>
      </c>
      <c r="F12" s="111" t="n">
        <f aca="false">E12/Inputs!$B$14</f>
        <v>2267745.10545015</v>
      </c>
    </row>
    <row r="13" customFormat="false" ht="19.5" hidden="false" customHeight="true" outlineLevel="0" collapsed="false">
      <c r="A13" s="157" t="n">
        <v>2035</v>
      </c>
      <c r="B13" s="102" t="n">
        <v>120</v>
      </c>
      <c r="C13" s="133" t="n">
        <v>380</v>
      </c>
      <c r="D13" s="103" t="n">
        <v>30000</v>
      </c>
      <c r="E13" s="103" t="n">
        <f aca="false">D13*B13</f>
        <v>3600000</v>
      </c>
      <c r="F13" s="104" t="n">
        <f aca="false">E13/Inputs!$B$14</f>
        <v>2721294.12654018</v>
      </c>
    </row>
    <row r="14" customFormat="false" ht="19.5" hidden="false" customHeight="true" outlineLevel="0" collapsed="false">
      <c r="A14" s="120"/>
      <c r="B14" s="126"/>
      <c r="C14" s="109"/>
      <c r="D14" s="126"/>
      <c r="E14" s="126"/>
      <c r="F14" s="126"/>
    </row>
    <row r="15" customFormat="false" ht="19.5" hidden="false" customHeight="true" outlineLevel="0" collapsed="false">
      <c r="A15" s="139" t="s">
        <v>584</v>
      </c>
      <c r="B15" s="121"/>
      <c r="C15" s="102"/>
      <c r="D15" s="121"/>
      <c r="E15" s="121"/>
      <c r="F15" s="121"/>
    </row>
    <row r="16" customFormat="false" ht="19.5" hidden="false" customHeight="true" outlineLevel="0" collapsed="false">
      <c r="A16" s="120"/>
      <c r="B16" s="126"/>
      <c r="C16" s="109"/>
      <c r="D16" s="126"/>
      <c r="E16" s="126"/>
      <c r="F16" s="126"/>
    </row>
    <row r="17" customFormat="false" ht="19.5" hidden="false" customHeight="true" outlineLevel="0" collapsed="false">
      <c r="A17" s="120"/>
      <c r="B17" s="121"/>
      <c r="C17" s="102"/>
      <c r="D17" s="121"/>
      <c r="E17" s="121"/>
      <c r="F17" s="121"/>
    </row>
    <row r="18" customFormat="false" ht="19.5" hidden="false" customHeight="true" outlineLevel="0" collapsed="false">
      <c r="A18" s="120"/>
      <c r="B18" s="126"/>
      <c r="C18" s="109"/>
      <c r="D18" s="126"/>
      <c r="E18" s="126"/>
      <c r="F18" s="126"/>
    </row>
    <row r="19" customFormat="false" ht="19.5" hidden="false" customHeight="true" outlineLevel="0" collapsed="false">
      <c r="A19" s="120"/>
      <c r="B19" s="121"/>
      <c r="C19" s="102"/>
      <c r="D19" s="121"/>
      <c r="E19" s="121"/>
      <c r="F19" s="121"/>
    </row>
    <row r="20" customFormat="false" ht="19.5" hidden="false" customHeight="true" outlineLevel="0" collapsed="false">
      <c r="A20" s="120"/>
      <c r="B20" s="126"/>
      <c r="C20" s="109"/>
      <c r="D20" s="126"/>
      <c r="E20" s="126"/>
      <c r="F20" s="126"/>
    </row>
    <row r="21" customFormat="false" ht="19.5" hidden="false" customHeight="true" outlineLevel="0" collapsed="false">
      <c r="A21" s="120"/>
      <c r="B21" s="121"/>
      <c r="C21" s="102"/>
      <c r="D21" s="121"/>
      <c r="E21" s="121"/>
      <c r="F21" s="121"/>
    </row>
    <row r="22" customFormat="false" ht="19.5" hidden="false" customHeight="true" outlineLevel="0" collapsed="false">
      <c r="A22" s="120"/>
      <c r="B22" s="126"/>
      <c r="C22" s="109"/>
      <c r="D22" s="126"/>
      <c r="E22" s="126"/>
      <c r="F22" s="126"/>
    </row>
    <row r="23" customFormat="false" ht="19.5" hidden="false" customHeight="true" outlineLevel="0" collapsed="false">
      <c r="A23" s="120"/>
      <c r="B23" s="121"/>
      <c r="C23" s="102"/>
      <c r="D23" s="121"/>
      <c r="E23" s="121"/>
      <c r="F23" s="121"/>
    </row>
    <row r="24" customFormat="false" ht="19.5" hidden="false" customHeight="true" outlineLevel="0" collapsed="false">
      <c r="A24" s="120"/>
      <c r="B24" s="126"/>
      <c r="C24" s="109"/>
      <c r="D24" s="126"/>
      <c r="E24" s="126"/>
      <c r="F24" s="126"/>
    </row>
    <row r="25" customFormat="false" ht="19.5" hidden="false" customHeight="true" outlineLevel="0" collapsed="false">
      <c r="A25" s="120"/>
      <c r="B25" s="121"/>
      <c r="C25" s="102"/>
      <c r="D25" s="121"/>
      <c r="E25" s="121"/>
      <c r="F25" s="121"/>
    </row>
  </sheetData>
  <mergeCells count="1">
    <mergeCell ref="A1:F1"/>
  </mergeCell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2026-10-09T07:37:15Z</dcterms:created>
  <dc:creator>openpyxl</dc:creator>
  <dc:description/>
  <dc:language>en-US</dc:language>
  <cp:lastModifiedBy/>
  <dcterms:modified xsi:type="dcterms:W3CDTF">2026-10-09T07:37:15Z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